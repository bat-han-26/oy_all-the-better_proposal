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액션플랜·견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-;-* #,##0_-;_-* &quot;-&quot;_-;_-@_-"/>
    <numFmt numFmtId="165" formatCode="#,##0;-;&quot;-&quot;"/>
    <numFmt numFmtId="166" formatCode="0.0%"/>
  </numFmts>
  <fonts count="9">
    <font>
      <name val="Calibri"/>
      <family val="2"/>
      <color theme="1"/>
      <sz val="11"/>
      <scheme val="minor"/>
    </font>
    <font>
      <name val="맑은 고딕"/>
      <b val="1"/>
      <color rgb="00082A08"/>
      <sz val="14"/>
    </font>
    <font>
      <name val="맑은 고딕"/>
      <b val="1"/>
      <color rgb="00FFFFFF"/>
      <sz val="10"/>
    </font>
    <font>
      <name val="맑은 고딕"/>
      <b val="1"/>
      <color rgb="00082A08"/>
      <sz val="10"/>
    </font>
    <font>
      <name val="맑은 고딕"/>
      <color rgb="00262626"/>
      <sz val="9"/>
    </font>
    <font>
      <name val="맑은 고딕"/>
      <color rgb="00262626"/>
      <sz val="10"/>
    </font>
    <font>
      <name val="맑은 고딕"/>
      <b val="1"/>
      <color rgb="00262626"/>
      <sz val="10"/>
    </font>
    <font>
      <name val="맑은 고딕"/>
      <b val="1"/>
      <color rgb="00FFFFFF"/>
      <sz val="9"/>
    </font>
    <font>
      <name val="맑은 고딕"/>
      <b val="1"/>
      <color rgb="00082A08"/>
      <sz val="9"/>
    </font>
  </fonts>
  <fills count="7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AF3DA"/>
      </patternFill>
    </fill>
    <fill>
      <patternFill patternType="solid">
        <fgColor rgb="00D9D9D9"/>
      </patternFill>
    </fill>
    <fill>
      <patternFill patternType="solid">
        <fgColor rgb="000E5A30"/>
      </patternFill>
    </fill>
    <fill>
      <patternFill patternType="solid">
        <fgColor rgb="00082A0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" customWidth="1" min="3" max="3"/>
    <col width="10" customWidth="1" min="4" max="4"/>
    <col width="10" customWidth="1" min="5" max="5"/>
    <col width="9" customWidth="1" min="6" max="6"/>
    <col width="10" customWidth="1" min="7" max="7"/>
    <col width="10" customWidth="1" min="8" max="8"/>
    <col width="9" customWidth="1" min="9" max="9"/>
    <col width="14" customWidth="1" min="10" max="10"/>
  </cols>
  <sheetData>
    <row r="1" ht="24" customHeight="1">
      <c r="A1" s="1" t="inlineStr">
        <is>
          <t>월별 실행 타임라인 · 액션플랜 — 견적 포함</t>
        </is>
      </c>
    </row>
    <row r="2" ht="34" customHeight="1">
      <c r="A2" s="2" t="inlineStr">
        <is>
          <t>항목</t>
        </is>
      </c>
      <c r="B2" s="2" t="inlineStr">
        <is>
          <t>단가(총 견적)</t>
        </is>
      </c>
      <c r="C2" s="2" t="inlineStr">
        <is>
          <t>7월</t>
        </is>
      </c>
      <c r="D2" s="2" t="inlineStr">
        <is>
          <t>8월
세일사전</t>
        </is>
      </c>
      <c r="E2" s="2" t="inlineStr">
        <is>
          <t>9월
세일★</t>
        </is>
      </c>
      <c r="F2" s="2" t="inlineStr">
        <is>
          <t>10월</t>
        </is>
      </c>
      <c r="G2" s="2" t="inlineStr">
        <is>
          <t>11월
블프★</t>
        </is>
      </c>
      <c r="H2" s="2" t="inlineStr">
        <is>
          <t>12월
세일★</t>
        </is>
      </c>
      <c r="I2" s="2" t="inlineStr">
        <is>
          <t>합계</t>
        </is>
      </c>
      <c r="J2" s="2" t="inlineStr">
        <is>
          <t>금액</t>
        </is>
      </c>
    </row>
    <row r="3">
      <c r="A3" s="3" t="inlineStr">
        <is>
          <t>■ 크리에이터 시딩</t>
        </is>
      </c>
    </row>
    <row r="4">
      <c r="A4" s="4" t="inlineStr">
        <is>
          <t>나노</t>
        </is>
      </c>
      <c r="B4" s="5" t="n">
        <v>270000</v>
      </c>
      <c r="C4" s="6" t="n">
        <v>10</v>
      </c>
      <c r="D4" s="6" t="n">
        <v>20</v>
      </c>
      <c r="E4" s="6" t="n">
        <v>12</v>
      </c>
      <c r="F4" s="6" t="n">
        <v>10</v>
      </c>
      <c r="G4" s="6" t="n">
        <v>18</v>
      </c>
      <c r="H4" s="6" t="n">
        <v>20</v>
      </c>
      <c r="I4" s="7">
        <f>SUM(C4:H4)</f>
        <v/>
      </c>
      <c r="J4" s="8">
        <f>I4*B4</f>
        <v/>
      </c>
    </row>
    <row r="5">
      <c r="A5" s="4" t="inlineStr">
        <is>
          <t>마이크로 (UGC)</t>
        </is>
      </c>
      <c r="B5" s="5" t="n">
        <v>420000</v>
      </c>
      <c r="C5" s="6" t="n">
        <v>16</v>
      </c>
      <c r="D5" s="6" t="n">
        <v>30</v>
      </c>
      <c r="E5" s="6" t="n">
        <v>20</v>
      </c>
      <c r="F5" s="6" t="n">
        <v>16</v>
      </c>
      <c r="G5" s="6" t="n">
        <v>28</v>
      </c>
      <c r="H5" s="6" t="n">
        <v>30</v>
      </c>
      <c r="I5" s="7">
        <f>SUM(C5:H5)</f>
        <v/>
      </c>
      <c r="J5" s="8">
        <f>I5*B5</f>
        <v/>
      </c>
    </row>
    <row r="6">
      <c r="A6" s="4" t="inlineStr">
        <is>
          <t>매크로</t>
        </is>
      </c>
      <c r="B6" s="5" t="n">
        <v>880000</v>
      </c>
      <c r="C6" s="6" t="n">
        <v>0</v>
      </c>
      <c r="D6" s="6" t="n">
        <v>4</v>
      </c>
      <c r="E6" s="6" t="n">
        <v>0</v>
      </c>
      <c r="F6" s="6" t="n">
        <v>0</v>
      </c>
      <c r="G6" s="6" t="n">
        <v>4</v>
      </c>
      <c r="H6" s="6" t="n">
        <v>4</v>
      </c>
      <c r="I6" s="7">
        <f>SUM(C6:H6)</f>
        <v/>
      </c>
      <c r="J6" s="8">
        <f>I6*B6</f>
        <v/>
      </c>
    </row>
    <row r="7">
      <c r="A7" s="4" t="inlineStr">
        <is>
          <t>KOL 무가시딩</t>
        </is>
      </c>
      <c r="B7" s="5" t="n">
        <v>100000</v>
      </c>
      <c r="C7" s="6" t="n">
        <v>5</v>
      </c>
      <c r="D7" s="6" t="n">
        <v>5</v>
      </c>
      <c r="E7" s="6" t="n">
        <v>5</v>
      </c>
      <c r="F7" s="6" t="n">
        <v>5</v>
      </c>
      <c r="G7" s="6" t="n">
        <v>5</v>
      </c>
      <c r="H7" s="6" t="n">
        <v>5</v>
      </c>
      <c r="I7" s="7">
        <f>SUM(C7:H7)</f>
        <v/>
      </c>
      <c r="J7" s="8">
        <f>I7*B7</f>
        <v/>
      </c>
    </row>
    <row r="8">
      <c r="A8" s="4" t="inlineStr">
        <is>
          <t>X (트위터) 시딩</t>
        </is>
      </c>
      <c r="B8" s="5" t="n">
        <v>550000</v>
      </c>
      <c r="C8" s="6" t="n">
        <v>0</v>
      </c>
      <c r="D8" s="6" t="n">
        <v>8</v>
      </c>
      <c r="E8" s="6" t="n">
        <v>0</v>
      </c>
      <c r="F8" s="6" t="n">
        <v>0</v>
      </c>
      <c r="G8" s="6" t="n">
        <v>8</v>
      </c>
      <c r="H8" s="6" t="n">
        <v>8</v>
      </c>
      <c r="I8" s="7">
        <f>SUM(C8:H8)</f>
        <v/>
      </c>
      <c r="J8" s="8">
        <f>I8*B8</f>
        <v/>
      </c>
    </row>
    <row r="9">
      <c r="A9" s="4" t="inlineStr">
        <is>
          <t>네이버 블로그</t>
        </is>
      </c>
      <c r="B9" s="5" t="n">
        <v>220000</v>
      </c>
      <c r="C9" s="6" t="n">
        <v>0</v>
      </c>
      <c r="D9" s="6" t="n">
        <v>5</v>
      </c>
      <c r="E9" s="6" t="n">
        <v>0</v>
      </c>
      <c r="F9" s="6" t="n">
        <v>0</v>
      </c>
      <c r="G9" s="6" t="n">
        <v>5</v>
      </c>
      <c r="H9" s="6" t="n">
        <v>5</v>
      </c>
      <c r="I9" s="7">
        <f>SUM(C9:H9)</f>
        <v/>
      </c>
      <c r="J9" s="8">
        <f>I9*B9</f>
        <v/>
      </c>
    </row>
    <row r="10">
      <c r="A10" s="3" t="inlineStr">
        <is>
          <t>■ BATi 앰배서더</t>
        </is>
      </c>
    </row>
    <row r="11">
      <c r="A11" s="4" t="inlineStr">
        <is>
          <t>BATi 마이크로 앰배서더</t>
        </is>
      </c>
      <c r="B11" s="5" t="n">
        <v>500000</v>
      </c>
      <c r="C11" s="6" t="n">
        <v>10</v>
      </c>
      <c r="D11" s="6" t="n">
        <v>10</v>
      </c>
      <c r="E11" s="6" t="n">
        <v>10</v>
      </c>
      <c r="F11" s="6" t="n">
        <v>10</v>
      </c>
      <c r="G11" s="6" t="n">
        <v>10</v>
      </c>
      <c r="H11" s="6" t="n">
        <v>10</v>
      </c>
      <c r="I11" s="7">
        <f>SUM(C11:H11)</f>
        <v/>
      </c>
      <c r="J11" s="8">
        <f>I11*B11</f>
        <v/>
      </c>
    </row>
    <row r="12">
      <c r="A12" s="9" t="inlineStr">
        <is>
          <t>월 시딩 총건수</t>
        </is>
      </c>
      <c r="B12" s="10" t="n"/>
      <c r="C12" s="11">
        <f>C4+C5+C6+C7+C8+C9+C11</f>
        <v/>
      </c>
      <c r="D12" s="11">
        <f>D4+D5+D6+D7+D8+D9+D11</f>
        <v/>
      </c>
      <c r="E12" s="11">
        <f>E4+E5+E6+E7+E8+E9+E11</f>
        <v/>
      </c>
      <c r="F12" s="11">
        <f>F4+F5+F6+F7+F8+F9+F11</f>
        <v/>
      </c>
      <c r="G12" s="11">
        <f>G4+G5+G6+G7+G8+G9+G11</f>
        <v/>
      </c>
      <c r="H12" s="11">
        <f>H4+H5+H6+H7+H8+H9+H11</f>
        <v/>
      </c>
      <c r="I12" s="11">
        <f>SUM(C12:H12)</f>
        <v/>
      </c>
      <c r="J12" s="10" t="n"/>
    </row>
    <row r="13">
      <c r="A13" s="3" t="inlineStr">
        <is>
          <t>■ 콘텐츠</t>
        </is>
      </c>
    </row>
    <row r="14">
      <c r="A14" s="4" t="inlineStr">
        <is>
          <t>EGC 콘텐츠</t>
        </is>
      </c>
      <c r="B14" s="5" t="n">
        <v>500000</v>
      </c>
      <c r="C14" s="6" t="n">
        <v>20</v>
      </c>
      <c r="D14" s="6" t="n">
        <v>20</v>
      </c>
      <c r="E14" s="6" t="n">
        <v>20</v>
      </c>
      <c r="F14" s="6" t="n">
        <v>20</v>
      </c>
      <c r="G14" s="6" t="n">
        <v>20</v>
      </c>
      <c r="H14" s="6" t="n">
        <v>20</v>
      </c>
      <c r="I14" s="7">
        <f>SUM(C14:H14)</f>
        <v/>
      </c>
      <c r="J14" s="8">
        <f>I14*B14</f>
        <v/>
      </c>
    </row>
    <row r="15">
      <c r="A15" s="4" t="inlineStr">
        <is>
          <t>Half EGC 콘텐츠</t>
        </is>
      </c>
      <c r="B15" s="5" t="n">
        <v>750000</v>
      </c>
      <c r="C15" s="6" t="n">
        <v>4</v>
      </c>
      <c r="D15" s="6" t="n">
        <v>4</v>
      </c>
      <c r="E15" s="6" t="n">
        <v>4</v>
      </c>
      <c r="F15" s="6" t="n">
        <v>4</v>
      </c>
      <c r="G15" s="6" t="n">
        <v>4</v>
      </c>
      <c r="H15" s="6" t="n">
        <v>4</v>
      </c>
      <c r="I15" s="7">
        <f>SUM(C15:H15)</f>
        <v/>
      </c>
      <c r="J15" s="8">
        <f>I15*B15</f>
        <v/>
      </c>
    </row>
    <row r="16">
      <c r="A16" s="4" t="inlineStr">
        <is>
          <t>콘텐츠 제작 (KV·영상·이미지)</t>
        </is>
      </c>
      <c r="B16" s="5" t="n">
        <v>1000000</v>
      </c>
      <c r="C16" s="6" t="n">
        <v>1</v>
      </c>
      <c r="D16" s="6" t="n">
        <v>1</v>
      </c>
      <c r="E16" s="6" t="n">
        <v>1</v>
      </c>
      <c r="F16" s="6" t="n">
        <v>1</v>
      </c>
      <c r="G16" s="6" t="n">
        <v>1</v>
      </c>
      <c r="H16" s="6" t="n">
        <v>1</v>
      </c>
      <c r="I16" s="7">
        <f>SUM(C16:H16)</f>
        <v/>
      </c>
      <c r="J16" s="8">
        <f>I16*B16</f>
        <v/>
      </c>
    </row>
    <row r="17">
      <c r="A17" s="3" t="inlineStr">
        <is>
          <t>■ 바이럴 · 전환</t>
        </is>
      </c>
    </row>
    <row r="18">
      <c r="A18" s="4" t="inlineStr">
        <is>
          <t>파워페이지</t>
        </is>
      </c>
      <c r="B18" s="5" t="n">
        <v>750000</v>
      </c>
      <c r="C18" s="6" t="n">
        <v>0</v>
      </c>
      <c r="D18" s="6" t="n">
        <v>2</v>
      </c>
      <c r="E18" s="6" t="n">
        <v>0</v>
      </c>
      <c r="F18" s="6" t="n">
        <v>0</v>
      </c>
      <c r="G18" s="6" t="n">
        <v>2</v>
      </c>
      <c r="H18" s="6" t="n">
        <v>2</v>
      </c>
      <c r="I18" s="7">
        <f>SUM(C18:H18)</f>
        <v/>
      </c>
      <c r="J18" s="8">
        <f>I18*B18</f>
        <v/>
      </c>
    </row>
    <row r="19">
      <c r="A19" s="4" t="inlineStr">
        <is>
          <t>커뮤니티 체험단</t>
        </is>
      </c>
      <c r="B19" s="5" t="n">
        <v>4300000</v>
      </c>
      <c r="C19" s="6" t="n">
        <v>0</v>
      </c>
      <c r="D19" s="6" t="n">
        <v>1</v>
      </c>
      <c r="E19" s="6" t="n">
        <v>0</v>
      </c>
      <c r="F19" s="6" t="n">
        <v>0</v>
      </c>
      <c r="G19" s="6" t="n">
        <v>1</v>
      </c>
      <c r="H19" s="6" t="n">
        <v>0</v>
      </c>
      <c r="I19" s="7">
        <f>SUM(C19:H19)</f>
        <v/>
      </c>
      <c r="J19" s="8">
        <f>I19*B19</f>
        <v/>
      </c>
    </row>
    <row r="20">
      <c r="A20" s="4" t="inlineStr">
        <is>
          <t>챌린저스</t>
        </is>
      </c>
      <c r="B20" s="5" t="n">
        <v>4800000</v>
      </c>
      <c r="C20" s="6" t="n">
        <v>0</v>
      </c>
      <c r="D20" s="6" t="n">
        <v>1</v>
      </c>
      <c r="E20" s="6" t="n">
        <v>0</v>
      </c>
      <c r="F20" s="6" t="n">
        <v>0</v>
      </c>
      <c r="G20" s="6" t="n">
        <v>1</v>
      </c>
      <c r="H20" s="6" t="n">
        <v>0</v>
      </c>
      <c r="I20" s="7">
        <f>SUM(C20:H20)</f>
        <v/>
      </c>
      <c r="J20" s="8">
        <f>I20*B20</f>
        <v/>
      </c>
    </row>
    <row r="21">
      <c r="A21" s="3" t="inlineStr">
        <is>
          <t>■ 솔루션</t>
        </is>
      </c>
    </row>
    <row r="22">
      <c r="A22" s="4" t="inlineStr">
        <is>
          <t>스프레이ai 솔루션</t>
        </is>
      </c>
      <c r="B22" s="5" t="n">
        <v>23333.3</v>
      </c>
      <c r="C22" s="6" t="n">
        <v>1</v>
      </c>
      <c r="D22" s="6" t="n">
        <v>1</v>
      </c>
      <c r="E22" s="6" t="n">
        <v>1</v>
      </c>
      <c r="F22" s="6" t="n">
        <v>1</v>
      </c>
      <c r="G22" s="6" t="n">
        <v>1</v>
      </c>
      <c r="H22" s="6" t="n">
        <v>1</v>
      </c>
      <c r="I22" s="7">
        <f>SUM(C22:H22)</f>
        <v/>
      </c>
      <c r="J22" s="8">
        <f>I22*B22</f>
        <v/>
      </c>
    </row>
    <row r="23">
      <c r="A23" s="12" t="inlineStr">
        <is>
          <t>월별 견적 비용 (월 단위)</t>
        </is>
      </c>
      <c r="B23" s="13" t="n"/>
      <c r="C23" s="14">
        <f>SUMPRODUCT(C4:C22,$B$4:$B$22)</f>
        <v/>
      </c>
      <c r="D23" s="14">
        <f>SUMPRODUCT(D4:D22,$B$4:$B$22)</f>
        <v/>
      </c>
      <c r="E23" s="14">
        <f>SUMPRODUCT(E4:E22,$B$4:$B$22)</f>
        <v/>
      </c>
      <c r="F23" s="14">
        <f>SUMPRODUCT(F4:F22,$B$4:$B$22)</f>
        <v/>
      </c>
      <c r="G23" s="14">
        <f>SUMPRODUCT(G4:G22,$B$4:$B$22)</f>
        <v/>
      </c>
      <c r="H23" s="14">
        <f>SUMPRODUCT(H4:H22,$B$4:$B$22)</f>
        <v/>
      </c>
      <c r="I23" s="13" t="inlineStr"/>
      <c r="J23" s="15">
        <f>SUM(C23:H23)</f>
        <v/>
      </c>
    </row>
    <row r="24">
      <c r="A24" s="16" t="inlineStr">
        <is>
          <t>월 예산 비중</t>
        </is>
      </c>
      <c r="B24" s="17" t="n"/>
      <c r="C24" s="18">
        <f>C23/$J$23</f>
        <v/>
      </c>
      <c r="D24" s="18">
        <f>D23/$J$23</f>
        <v/>
      </c>
      <c r="E24" s="18">
        <f>E23/$J$23</f>
        <v/>
      </c>
      <c r="F24" s="18">
        <f>F23/$J$23</f>
        <v/>
      </c>
      <c r="G24" s="18">
        <f>G23/$J$23</f>
        <v/>
      </c>
      <c r="H24" s="18">
        <f>H23/$J$23</f>
        <v/>
      </c>
      <c r="I24" s="17" t="inlineStr"/>
      <c r="J24" s="19">
        <f>J23/$J$23</f>
        <v/>
      </c>
    </row>
    <row r="25">
      <c r="A25" s="20" t="inlineStr">
        <is>
          <t>총 견적 (VAT 별도)</t>
        </is>
      </c>
      <c r="J25" s="21">
        <f>J4+J5+J6+J7+J8+J9+J11+J14+J15+J16+J18+J19+J20+J22</f>
        <v/>
      </c>
    </row>
  </sheetData>
  <mergeCells count="7">
    <mergeCell ref="A1:J1"/>
    <mergeCell ref="A25:I25"/>
    <mergeCell ref="A17:J17"/>
    <mergeCell ref="A3:J3"/>
    <mergeCell ref="A21:J21"/>
    <mergeCell ref="A10:J10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2026-06-18T18:35:21Z</dcterms:created>
  <dcterms:modified xmlns:dcterms="http://purl.org/dc/terms/" xmlns:xsi="http://www.w3.org/2001/XMLSchema-instance" xsi:type="dcterms:W3CDTF">2026-06-18T18:35:21Z</dcterms:modified>
</cp:coreProperties>
</file>