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nso\Desktop\"/>
    </mc:Choice>
  </mc:AlternateContent>
  <xr:revisionPtr revIDLastSave="0" documentId="13_ncr:1_{ECEE4D56-6B6A-428D-A659-F6C77272BF7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견적제안" sheetId="1" r:id="rId1"/>
    <sheet name="견적상세" sheetId="2" r:id="rId2"/>
    <sheet name="월별 액션플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3" l="1"/>
  <c r="G21" i="3"/>
  <c r="F21" i="3"/>
  <c r="E21" i="3"/>
  <c r="D21" i="3"/>
  <c r="C21" i="3"/>
  <c r="I21" i="3" s="1"/>
  <c r="J19" i="3"/>
  <c r="I18" i="3"/>
  <c r="J18" i="3" s="1"/>
  <c r="I17" i="3"/>
  <c r="J17" i="3" s="1"/>
  <c r="I16" i="3"/>
  <c r="J16" i="3" s="1"/>
  <c r="I14" i="3"/>
  <c r="J14" i="3" s="1"/>
  <c r="I13" i="3"/>
  <c r="J13" i="3" s="1"/>
  <c r="I12" i="3"/>
  <c r="J12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G76" i="2"/>
  <c r="J75" i="2"/>
  <c r="J74" i="2"/>
  <c r="J73" i="2"/>
  <c r="I73" i="2"/>
  <c r="I76" i="2" s="1"/>
  <c r="J72" i="2"/>
  <c r="J71" i="2"/>
  <c r="J70" i="2"/>
  <c r="J69" i="2"/>
  <c r="J68" i="2"/>
  <c r="J67" i="2"/>
  <c r="J66" i="2"/>
  <c r="J65" i="2"/>
  <c r="J64" i="2"/>
  <c r="G62" i="2"/>
  <c r="J61" i="2"/>
  <c r="J60" i="2"/>
  <c r="J59" i="2"/>
  <c r="I59" i="2"/>
  <c r="J58" i="2"/>
  <c r="I58" i="2"/>
  <c r="I62" i="2" s="1"/>
  <c r="J57" i="2"/>
  <c r="J56" i="2"/>
  <c r="J55" i="2"/>
  <c r="J54" i="2"/>
  <c r="J53" i="2"/>
  <c r="J52" i="2"/>
  <c r="J51" i="2"/>
  <c r="J50" i="2"/>
  <c r="J49" i="2"/>
  <c r="J62" i="2" s="1"/>
  <c r="I47" i="2"/>
  <c r="G47" i="2"/>
  <c r="J46" i="2"/>
  <c r="J45" i="2"/>
  <c r="J44" i="2"/>
  <c r="J43" i="2"/>
  <c r="J42" i="2"/>
  <c r="J41" i="2"/>
  <c r="J40" i="2"/>
  <c r="J47" i="2" s="1"/>
  <c r="I38" i="2"/>
  <c r="G38" i="2"/>
  <c r="J37" i="2"/>
  <c r="J36" i="2"/>
  <c r="J35" i="2"/>
  <c r="J34" i="2"/>
  <c r="J33" i="2"/>
  <c r="J32" i="2"/>
  <c r="J38" i="2" s="1"/>
  <c r="J31" i="2"/>
  <c r="G29" i="2"/>
  <c r="J28" i="2"/>
  <c r="J27" i="2"/>
  <c r="J26" i="2"/>
  <c r="I26" i="2"/>
  <c r="J25" i="2"/>
  <c r="I25" i="2"/>
  <c r="I29" i="2" s="1"/>
  <c r="J24" i="2"/>
  <c r="J23" i="2"/>
  <c r="J22" i="2"/>
  <c r="J21" i="2"/>
  <c r="J20" i="2"/>
  <c r="J19" i="2"/>
  <c r="J18" i="2"/>
  <c r="J17" i="2"/>
  <c r="J16" i="2"/>
  <c r="I14" i="2"/>
  <c r="G14" i="2"/>
  <c r="J13" i="2"/>
  <c r="J12" i="2"/>
  <c r="J11" i="2"/>
  <c r="J10" i="2"/>
  <c r="J9" i="2"/>
  <c r="J8" i="2"/>
  <c r="J7" i="2"/>
  <c r="J14" i="2" s="1"/>
  <c r="I77" i="2" l="1"/>
  <c r="J29" i="2"/>
  <c r="J76" i="2"/>
  <c r="J77" i="2"/>
  <c r="J22" i="3"/>
  <c r="J78" i="2" l="1"/>
  <c r="J79" i="2"/>
</calcChain>
</file>

<file path=xl/sharedStrings.xml><?xml version="1.0" encoding="utf-8"?>
<sst xmlns="http://schemas.openxmlformats.org/spreadsheetml/2006/main" count="447" uniqueCount="206">
  <si>
    <t>BAT  |  견적 제안서</t>
  </si>
  <si>
    <t>· 프로젝트명</t>
  </si>
  <si>
    <t>올리브영 PB 올더베러 브랜드 빌딩 캠페인</t>
  </si>
  <si>
    <t>· 집행 기간</t>
  </si>
  <si>
    <t>2026년 7월 1일 ~ 2026년 12월 31일 (6개월) · 인플루언서 시딩·바이럴 통합 운영</t>
  </si>
  <si>
    <t>· 집행 내용</t>
  </si>
  <si>
    <t xml:space="preserve">① 인플루언서 시딩(나노·마이크로 코어) 중심 진성 UGC 대량 확산 </t>
  </si>
  <si>
    <t xml:space="preserve">② 바이럴(챌린저스·커뮤니티·파워페이지·어필리에이트·언론보도 초안(GEO/AEO) </t>
  </si>
  <si>
    <t>③ 위닝 콘텐츠·시딩 자산을 올영세일 구매 전환으로 직접 연결</t>
  </si>
  <si>
    <t>· 견적 상세</t>
  </si>
  <si>
    <t>· 총 견적 : KRW 250,000,000원 (VAT 별도)   ※ 마크업 포함</t>
  </si>
  <si>
    <t>· 크리에이터·집행 원고료 : 245,000,000원 / 예상 마크업 : 5,000,000원 (커뮤니티·챌린저스 한정 20%)</t>
  </si>
  <si>
    <t>· 목표 시딩 수량 : IG·TikTok·YT·Blog 등 총 500건 (+ EGC·Half EGC 18건)</t>
  </si>
  <si>
    <t>· A/C 견적 상세</t>
  </si>
  <si>
    <t>· 크리에이터 시딩 : 178,000,000원  (마이크로 197 · 나노 198 · 매크로 15 · KOL 60 · X 15 · 블로그 15)</t>
  </si>
  <si>
    <t>· 콘텐츠 EGC : 19,500,000원  (EGC 12 × 100만 · Half EGC 6 × 125만)</t>
  </si>
  <si>
    <t>· 콘텐츠 제작(KV·영상·이미지) : 9,300,000원  (월 155만 × 6개월)</t>
  </si>
  <si>
    <t>· 콘텐츠·바이럴 : 38,200,000원  (파워페이지 9 · 커뮤니티 3 · 챌린저스 2회 · 어필리에이트 60)</t>
  </si>
  <si>
    <t>· 마크업 (커뮤니티·챌린저스 20%) : 5,000,000원</t>
  </si>
  <si>
    <t>· 총 합계 : 250,000,000원 (VAT 별도)</t>
  </si>
  <si>
    <t>· 원고료/마크업 안내</t>
  </si>
  <si>
    <t>· 마크업은 ‘커뮤니티 체험단’·‘챌린저스’ 2개 항목에만 20% 적용</t>
  </si>
  <si>
    <t>· 나노 25만 / 마이크로 50만 / 매크로 80만 (IG·TikTok 동일 단가)</t>
  </si>
  <si>
    <t>· EGC = 마이크로 ×2(100만) / Half EGC = 마이크로 ×2.5(125만) · 콘텐츠 제작 월 155만</t>
  </si>
  <si>
    <t>· 콘텐츠 제작 안내</t>
  </si>
  <si>
    <t>· 콘텐츠 제작(KV·디자인·영상·이미지 소재) 월 155만 × 6개월 별도 계상 · 마이크로·나노 5:5</t>
  </si>
  <si>
    <t>· UGC·EGC·Half EGC 영상은 시딩 원고료 내 제작·확보 · 퍼포먼스 항목 없음</t>
  </si>
  <si>
    <t>· 무상 지원 내역</t>
  </si>
  <si>
    <t>· 특이사항</t>
  </si>
  <si>
    <t>· 시장 단가 변동 및 모집 기간에 따라 총 원고료는 소폭 변동될 수 있습니다.</t>
  </si>
  <si>
    <t>· 항목별 상세는 ‘견적상세’(월별), 집행 일정은 ‘월별 액션플랜’ 시트를 확인 바랍니다.</t>
  </si>
  <si>
    <t>올더베러 26년 하반기 견적 상세 — 월별 캠페인   (단위: 원 / VAT 별도)</t>
  </si>
  <si>
    <t>2026년 3,4Q : 07월 - 12월 / 총 예산 2.5억 원 / 인플루언서 시딩, 바이럴 콘텐츠 통합 제안</t>
  </si>
  <si>
    <t>항목</t>
  </si>
  <si>
    <t>채널</t>
  </si>
  <si>
    <t>캠페인 및 활용 목적 / 앵글</t>
  </si>
  <si>
    <t>타겟 페르소나</t>
  </si>
  <si>
    <t>필수 해시태그</t>
  </si>
  <si>
    <t>목표수량</t>
  </si>
  <si>
    <t>단가</t>
  </si>
  <si>
    <t>마크업(20%)</t>
  </si>
  <si>
    <t>총비용</t>
  </si>
  <si>
    <t xml:space="preserve">  ▣ 7월 · 착수 / 첫 점화 (Phase 1)   —   위닝 메시지 발굴 + 일반식품 시딩 도화선 점화 · 타겟: 웰니스 입문형</t>
  </si>
  <si>
    <t>마이크로 (UGC)</t>
  </si>
  <si>
    <t>IG·TT</t>
  </si>
  <si>
    <t>멜라나잇(자기 전)·올리브오일(아침 공복) 위닝 메시지 LMF 테스트</t>
  </si>
  <si>
    <t>직장인 루틴형 2535</t>
  </si>
  <si>
    <t>#올더베러 #오늘도베러</t>
  </si>
  <si>
    <t>나노</t>
  </si>
  <si>
    <t>IG</t>
  </si>
  <si>
    <t>진성 후기 볼륨 착수 · #오늘도베러 해시태그 자산화</t>
  </si>
  <si>
    <t>웰니스 입문형 2030</t>
  </si>
  <si>
    <t>#올더베러 #오늘도베러 #웰니스입문</t>
  </si>
  <si>
    <t>KOL 무가시딩</t>
  </si>
  <si>
    <t>IG·YT</t>
  </si>
  <si>
    <t>웰니스 코어 KOL 관계 형성·자발 콘텐츠</t>
  </si>
  <si>
    <t>30대 웰니스 KOL</t>
  </si>
  <si>
    <t>EGC 콘텐츠</t>
  </si>
  <si>
    <t>직원 피셜 — 올리브오일 ‘이 스펙 이 가격’ 신뢰형</t>
  </si>
  <si>
    <t>정보 신뢰 구매고려층</t>
  </si>
  <si>
    <t>#올더베러 #직원피셜</t>
  </si>
  <si>
    <t>Half EGC 콘텐츠</t>
  </si>
  <si>
    <t>건기식 정보+공감 (루테인 모니터 앞 직장인)</t>
  </si>
  <si>
    <t>건기식 관심 직장인</t>
  </si>
  <si>
    <t>#올더베러 #웰니스루틴</t>
  </si>
  <si>
    <t>어필리에이트</t>
  </si>
  <si>
    <t>올영 쇼핑 큐레이터</t>
  </si>
  <si>
    <t>올영 쇼핑 큐레이터 풀 구축·앱 내 동선 세팅</t>
  </si>
  <si>
    <t>세일즈 경험 크리에이터</t>
  </si>
  <si>
    <t>#올영세일 #장바구니</t>
  </si>
  <si>
    <t>콘텐츠 제작 (KV·영상·이미지)</t>
  </si>
  <si>
    <t>제작</t>
  </si>
  <si>
    <t>—</t>
  </si>
  <si>
    <t>7월 소계</t>
  </si>
  <si>
    <t xml:space="preserve">  ▣ 8월 · 세일 사전 부스팅 (1차 웨이브)   —   올영세일 前 인지·각인 확산 + 선택 증거 확보 · 타겟: 입문형+루틴형</t>
  </si>
  <si>
    <t>위닝 메시지 대량 확산 — 세일 1주 전 집중</t>
  </si>
  <si>
    <t>다수 진성 후기로 ‘많이 보이는 제품’ 인식 형성</t>
  </si>
  <si>
    <t>매크로</t>
  </si>
  <si>
    <t>IG·TT·YT</t>
  </si>
  <si>
    <t>세일 대세감 점화·도달 확대</t>
  </si>
  <si>
    <t>헬시플레저 광역 4050+</t>
  </si>
  <si>
    <t>#올더베러 #올영세일</t>
  </si>
  <si>
    <t>오가닉 콘텐츠 확대</t>
  </si>
  <si>
    <t>X (트위터) 시딩</t>
  </si>
  <si>
    <t>X</t>
  </si>
  <si>
    <t>실시간 트렌드·밈 바이럴</t>
  </si>
  <si>
    <t>리뷰·밈 2030</t>
  </si>
  <si>
    <t>#올더베러 #올영템</t>
  </si>
  <si>
    <t>네이버 블로그</t>
  </si>
  <si>
    <t>Blog</t>
  </si>
  <si>
    <t>검색 후기·정보 탐색 상위 노출</t>
  </si>
  <si>
    <t>정보탐색 검색자</t>
  </si>
  <si>
    <t>#올더베러 #웰니스구미추천</t>
  </si>
  <si>
    <t>제품 RTB 신뢰형 콘텐츠</t>
  </si>
  <si>
    <t>건기식 인정 기능성 정보+공감</t>
  </si>
  <si>
    <t>파워페이지</t>
  </si>
  <si>
    <t>SNS</t>
  </si>
  <si>
    <t>‘추천템’ 맥락·정보성 노출</t>
  </si>
  <si>
    <t>구매 고의도 검색자</t>
  </si>
  <si>
    <t>#올영추천템 #웰니스추천</t>
  </si>
  <si>
    <t>커뮤니티 체험단</t>
  </si>
  <si>
    <t>뷰티앱·커뮤니티</t>
  </si>
  <si>
    <t>체험단·어워드로 ‘검증된 후기’ 볼륨</t>
  </si>
  <si>
    <t>카테고리 관여 高 사용자</t>
  </si>
  <si>
    <t>#올리브영 #웰니스어워드</t>
  </si>
  <si>
    <t>챌린저스</t>
  </si>
  <si>
    <t>챌린저스 앱</t>
  </si>
  <si>
    <t>구매·리뷰 인증 챌린지 가동(랭킹 빌드업)</t>
  </si>
  <si>
    <t>올영 액티브 유저</t>
  </si>
  <si>
    <t>#올영1위 #올더베러챌린지</t>
  </si>
  <si>
    <t>앱 내 발견→구매 동선 확대</t>
  </si>
  <si>
    <t>세일 소재·B&amp;A 컷 제작</t>
  </si>
  <si>
    <t>8월 소계</t>
  </si>
  <si>
    <t xml:space="preserve">  ▣ 9월 · 올영세일 1차 피크   —   확보한 증거로 구매 전환 + 카테고리 랭킹 상단 · 타겟: 실질 전환형</t>
  </si>
  <si>
    <t>세일 전환 소구 + ‘올영 1위’ 랭킹 결합 소재</t>
  </si>
  <si>
    <t>구매 인증·리뷰 볼륨 집중</t>
  </si>
  <si>
    <t>전환 시점 자발 후기</t>
  </si>
  <si>
    <t>세일 클로징 신뢰 소재</t>
  </si>
  <si>
    <t>건기식 전환 정보 콘텐츠</t>
  </si>
  <si>
    <t>세일 매출·랭킹 견인</t>
  </si>
  <si>
    <t>세일 본편·마지막날 소재</t>
  </si>
  <si>
    <t>9월 소계</t>
  </si>
  <si>
    <t xml:space="preserve">  ▣ 10월 · 유지 / 건기식 라인 확장   —   건기식 라인 확장 + 위닝 소재 낙수 · 타겟: 직장인 루틴형</t>
  </si>
  <si>
    <t>건기식(루테인·바나바잎·올인원) 확장 메시지 테스트</t>
  </si>
  <si>
    <t>9월 위닝 소재 낙수·후기 자산 확산</t>
  </si>
  <si>
    <t>관계형 콘텐츠 유지</t>
  </si>
  <si>
    <t>건기식 라인 신뢰 콘텐츠</t>
  </si>
  <si>
    <t>건기식 정보+공감 확장</t>
  </si>
  <si>
    <t>상시 전환 동선 유지</t>
  </si>
  <si>
    <t>건기식 라인 소재 제작</t>
  </si>
  <si>
    <t>10월 소계</t>
  </si>
  <si>
    <t xml:space="preserve">  ▣ 11월 · 블프 (2차 웨이브)   —   재점화 — 많이 보이고 많이 찾는 브랜드 · 타겟: 입문형+루틴형</t>
  </si>
  <si>
    <t>블프 재점화·위닝 소재 재투입</t>
  </si>
  <si>
    <t>진성 후기 재확대·대세감</t>
  </si>
  <si>
    <t>블프 대세감 점화</t>
  </si>
  <si>
    <t>오가닉 재가동</t>
  </si>
  <si>
    <t>실시간 트렌드 바이럴</t>
  </si>
  <si>
    <t>검색 상위·추천 점유</t>
  </si>
  <si>
    <t>RTB+혜택 결합 소재</t>
  </si>
  <si>
    <t>건기식 정보 콘텐츠</t>
  </si>
  <si>
    <t>추천 맥락 재노출</t>
  </si>
  <si>
    <t>검증 후기 보강</t>
  </si>
  <si>
    <t>챌린저스 2차·신뢰 자산 보강</t>
  </si>
  <si>
    <t>블프 전환 견인</t>
  </si>
  <si>
    <t>블프 프로모션 소재</t>
  </si>
  <si>
    <t>11월 소계</t>
  </si>
  <si>
    <t xml:space="preserve">  ▣ 12월 · 올영세일 2차 피크 / 대표성 착지   —   웰니스 카테고리 대표 브랜드 착지 · 타겟: 실질 전환형</t>
  </si>
  <si>
    <t>전 라인업 대표성 콘텐츠·세일 클로징</t>
  </si>
  <si>
    <t>구매 인증·쟁여두기 소구</t>
  </si>
  <si>
    <t>세일 대세감·대표성</t>
  </si>
  <si>
    <t>연말 자발 후기</t>
  </si>
  <si>
    <t>실시간 바이럴</t>
  </si>
  <si>
    <t>검색 점유 유지</t>
  </si>
  <si>
    <t>대표성 신뢰 소재</t>
  </si>
  <si>
    <t>추천 맥락 노출</t>
  </si>
  <si>
    <t>연말 어워드·랭킹</t>
  </si>
  <si>
    <t>세일 매출·랭킹 클로징</t>
  </si>
  <si>
    <t>세일 클로징 소재</t>
  </si>
  <si>
    <t>12월 소계</t>
  </si>
  <si>
    <t>총 합계 (원고료+마크업, VAT 별도)</t>
  </si>
  <si>
    <t>부가세(10%)</t>
  </si>
  <si>
    <t>합계(VAT 포함)</t>
  </si>
  <si>
    <t>■ 무상 지원 (Value-add · 0원)</t>
  </si>
  <si>
    <t>스프레이ai 솔루션</t>
  </si>
  <si>
    <t>무상</t>
  </si>
  <si>
    <t>-</t>
  </si>
  <si>
    <t>고성과 리포트 대시보드</t>
  </si>
  <si>
    <t>올리비아 (AI 어시스턴트)</t>
  </si>
  <si>
    <t>AI 콘텐츠·리포팅 어시스턴트 제공</t>
  </si>
  <si>
    <t>VOC 딥다이브 리포트</t>
  </si>
  <si>
    <t>리뷰 크롤링·키워드 분석 리포트</t>
  </si>
  <si>
    <t>Claude AI 심의 사전검수</t>
  </si>
  <si>
    <t>심의 반려율↓·리드타임 단축</t>
  </si>
  <si>
    <t>월간 성과 리포팅</t>
  </si>
  <si>
    <t>위닝 콘텐츠 2차 활용</t>
  </si>
  <si>
    <t>월별 실행 타임라인 · 액션플랜</t>
  </si>
  <si>
    <t>7월</t>
  </si>
  <si>
    <t>8월
세일사전</t>
  </si>
  <si>
    <t>9월
세일★</t>
  </si>
  <si>
    <t>10월</t>
  </si>
  <si>
    <t>11월
블프★</t>
  </si>
  <si>
    <t>12월
세일★</t>
  </si>
  <si>
    <t>합계</t>
  </si>
  <si>
    <t>금액</t>
  </si>
  <si>
    <t>■ 크리에이터 시딩</t>
  </si>
  <si>
    <t>■ 콘텐츠</t>
  </si>
  <si>
    <t>EGC 콘텐츠 (마이크로×2)</t>
  </si>
  <si>
    <t>Half EGC 콘텐츠 (마이크로×2.5)</t>
  </si>
  <si>
    <t>■ 바이럴 · 전환</t>
  </si>
  <si>
    <t>누적 60</t>
  </si>
  <si>
    <t>월 시딩 총건수</t>
  </si>
  <si>
    <t>총 견적</t>
  </si>
  <si>
    <t>· [대행 기간 솔루션 무상 지원] 대행 수행 시 AI솔루션 이용료를 대행 종료시점까지 무상 지원 예정</t>
    <phoneticPr fontId="13" type="noConversion"/>
  </si>
  <si>
    <t>· 고성과 리포트 대시보드 / 올리비아 AI 어시스턴트 / VOC 인사이트 딥다이브 / Claude AI 심의 검수 / 캠페인 리포팅</t>
    <phoneticPr fontId="13" type="noConversion"/>
  </si>
  <si>
    <t>#올더베러 #직원피셜 #오늘도베러</t>
    <phoneticPr fontId="13" type="noConversion"/>
  </si>
  <si>
    <t>#올더베러 #웰니스루틴 #오늘도베러</t>
    <phoneticPr fontId="13" type="noConversion"/>
  </si>
  <si>
    <t>#올영세일 #장바구니 #올리브영 #올리브베러 #올더베러</t>
    <phoneticPr fontId="13" type="noConversion"/>
  </si>
  <si>
    <t>브랜드 KV·기본 소재 제작</t>
    <phoneticPr fontId="13" type="noConversion"/>
  </si>
  <si>
    <t>대행 종료시점까지 무상 — 월 420만(브랜드 1개) · 6개월 2,520만원 상당</t>
    <phoneticPr fontId="13" type="noConversion"/>
  </si>
  <si>
    <t>스프레이ai 솔루션 월 이용료 420만원(브랜드 1개 기준)  ※ 6개월 2,520만원 상당</t>
    <phoneticPr fontId="13" type="noConversion"/>
  </si>
  <si>
    <t>캠페인 성과·랭킹 트래킹 제공</t>
    <phoneticPr fontId="13" type="noConversion"/>
  </si>
  <si>
    <t>시딩 콘텐츠 2차 활용 라이선스</t>
    <phoneticPr fontId="13" type="noConversion"/>
  </si>
  <si>
    <t>캠페인 완수 후 리포팅 제공</t>
    <phoneticPr fontId="13" type="noConversion"/>
  </si>
  <si>
    <r>
      <t xml:space="preserve">챌린저스 </t>
    </r>
    <r>
      <rPr>
        <sz val="8"/>
        <color rgb="FF262626"/>
        <rFont val="맑은 고딕"/>
        <family val="3"/>
        <charset val="129"/>
      </rPr>
      <t>(마크업20%포함)</t>
    </r>
    <phoneticPr fontId="13" type="noConversion"/>
  </si>
  <si>
    <r>
      <t xml:space="preserve">커뮤니티 체험단 </t>
    </r>
    <r>
      <rPr>
        <sz val="8"/>
        <color rgb="FF262626"/>
        <rFont val="맑은 고딕"/>
        <family val="3"/>
        <charset val="129"/>
      </rPr>
      <t>(마크업20%포함)</t>
    </r>
    <phoneticPr fontId="13" type="noConversion"/>
  </si>
  <si>
    <t>어필리에이트 (누적)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</si>
</sst>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scheme val="minor"/>
    </font>
    <font>
      <b/>
      <sz val="18"/>
      <color rgb="FF262626"/>
      <name val="맑은 고딕"/>
      <family val="3"/>
      <charset val="129"/>
    </font>
    <font>
      <b/>
      <sz val="10"/>
      <color rgb="FF262626"/>
      <name val="맑은 고딕"/>
      <family val="3"/>
      <charset val="129"/>
    </font>
    <font>
      <sz val="10"/>
      <color rgb="FF262626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3"/>
      <color rgb="FF262626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82A08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9"/>
      <color rgb="FF082A08"/>
      <name val="맑은 고딕"/>
      <family val="3"/>
      <charset val="129"/>
    </font>
    <font>
      <sz val="10"/>
      <color rgb="FF082A08"/>
      <name val="맑은 고딕"/>
      <family val="3"/>
      <charset val="129"/>
    </font>
    <font>
      <b/>
      <sz val="14"/>
      <color rgb="FF26262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</font>
    <font>
      <sz val="8"/>
      <color rgb="FF262626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82DC28"/>
      </patternFill>
    </fill>
    <fill>
      <patternFill patternType="solid">
        <fgColor rgb="FF62A81B"/>
      </patternFill>
    </fill>
    <fill>
      <patternFill patternType="solid">
        <fgColor rgb="FF082A08"/>
      </patternFill>
    </fill>
    <fill>
      <patternFill patternType="solid">
        <fgColor rgb="FFEAF3DA"/>
      </patternFill>
    </fill>
    <fill>
      <patternFill patternType="solid">
        <fgColor rgb="FFD9D9D9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hair">
        <color rgb="FFD9D9D9"/>
      </left>
      <right style="hair">
        <color rgb="FFD9D9D9"/>
      </right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hair">
        <color rgb="FFD9D9D9"/>
      </left>
      <right style="hair">
        <color rgb="FFD9D9D9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rgb="FFD9D9D9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rgb="FFD9D9D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D9D9D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D9D9D9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BFBFBF"/>
      </right>
      <top style="medium">
        <color indexed="64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6" fillId="0" borderId="0" xfId="0" applyFont="1" applyAlignment="1">
      <alignment horizontal="left" vertical="center"/>
    </xf>
    <xf numFmtId="41" fontId="7" fillId="2" borderId="1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5" fillId="8" borderId="15" xfId="0" applyFont="1" applyFill="1" applyBorder="1" applyAlignment="1">
      <alignment horizontal="left" vertical="center"/>
    </xf>
    <xf numFmtId="0" fontId="16" fillId="8" borderId="0" xfId="0" applyFont="1" applyFill="1"/>
    <xf numFmtId="0" fontId="17" fillId="8" borderId="16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8" fillId="6" borderId="10" xfId="0" applyFont="1" applyFill="1" applyBorder="1" applyAlignment="1">
      <alignment horizontal="left" vertical="center"/>
    </xf>
    <xf numFmtId="0" fontId="0" fillId="9" borderId="4" xfId="0" applyFill="1" applyBorder="1"/>
    <xf numFmtId="0" fontId="0" fillId="9" borderId="15" xfId="0" applyFill="1" applyBorder="1"/>
    <xf numFmtId="0" fontId="0" fillId="9" borderId="0" xfId="0" applyFill="1"/>
    <xf numFmtId="0" fontId="0" fillId="9" borderId="16" xfId="0" applyFill="1" applyBorder="1"/>
    <xf numFmtId="0" fontId="0" fillId="9" borderId="5" xfId="0" applyFill="1" applyBorder="1"/>
    <xf numFmtId="0" fontId="3" fillId="9" borderId="16" xfId="0" applyFont="1" applyFill="1" applyBorder="1" applyAlignment="1">
      <alignment horizontal="left" vertical="center"/>
    </xf>
    <xf numFmtId="0" fontId="0" fillId="9" borderId="15" xfId="0" applyFill="1" applyBorder="1"/>
    <xf numFmtId="0" fontId="2" fillId="9" borderId="16" xfId="0" applyFont="1" applyFill="1" applyBorder="1" applyAlignment="1">
      <alignment horizontal="left" vertical="center"/>
    </xf>
    <xf numFmtId="0" fontId="4" fillId="9" borderId="16" xfId="0" applyFont="1" applyFill="1" applyBorder="1" applyAlignment="1">
      <alignment horizontal="left" vertical="center"/>
    </xf>
    <xf numFmtId="0" fontId="0" fillId="9" borderId="17" xfId="0" applyFill="1" applyBorder="1"/>
    <xf numFmtId="0" fontId="0" fillId="9" borderId="18" xfId="0" applyFill="1" applyBorder="1"/>
    <xf numFmtId="0" fontId="3" fillId="9" borderId="19" xfId="0" applyFont="1" applyFill="1" applyBorder="1" applyAlignment="1">
      <alignment horizontal="left" vertical="center"/>
    </xf>
    <xf numFmtId="0" fontId="0" fillId="9" borderId="1" xfId="0" applyFill="1" applyBorder="1"/>
    <xf numFmtId="0" fontId="0" fillId="9" borderId="6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7" xfId="0" applyFill="1" applyBorder="1"/>
    <xf numFmtId="0" fontId="0" fillId="9" borderId="3" xfId="0" applyFill="1" applyBorder="1"/>
    <xf numFmtId="0" fontId="0" fillId="9" borderId="2" xfId="0" applyFill="1" applyBorder="1"/>
    <xf numFmtId="0" fontId="2" fillId="9" borderId="22" xfId="0" applyFont="1" applyFill="1" applyBorder="1" applyAlignment="1">
      <alignment horizontal="left" vertical="center"/>
    </xf>
    <xf numFmtId="0" fontId="0" fillId="9" borderId="13" xfId="0" applyFill="1" applyBorder="1"/>
    <xf numFmtId="0" fontId="3" fillId="9" borderId="14" xfId="0" applyFont="1" applyFill="1" applyBorder="1" applyAlignment="1">
      <alignment horizontal="left" vertical="center"/>
    </xf>
    <xf numFmtId="0" fontId="2" fillId="9" borderId="23" xfId="0" applyFont="1" applyFill="1" applyBorder="1" applyAlignment="1">
      <alignment horizontal="left" vertical="center"/>
    </xf>
    <xf numFmtId="0" fontId="0" fillId="9" borderId="0" xfId="0" applyFill="1" applyBorder="1"/>
    <xf numFmtId="0" fontId="1" fillId="9" borderId="19" xfId="0" applyFont="1" applyFill="1" applyBorder="1" applyAlignment="1">
      <alignment horizontal="left" vertical="center"/>
    </xf>
    <xf numFmtId="0" fontId="2" fillId="9" borderId="14" xfId="0" applyFont="1" applyFill="1" applyBorder="1" applyAlignment="1">
      <alignment horizontal="left" vertical="center"/>
    </xf>
    <xf numFmtId="0" fontId="2" fillId="9" borderId="19" xfId="0" applyFont="1" applyFill="1" applyBorder="1" applyAlignment="1">
      <alignment horizontal="left" vertical="center"/>
    </xf>
    <xf numFmtId="0" fontId="2" fillId="9" borderId="22" xfId="0" applyFont="1" applyFill="1" applyBorder="1" applyAlignment="1">
      <alignment horizontal="left" vertical="center"/>
    </xf>
    <xf numFmtId="0" fontId="0" fillId="9" borderId="24" xfId="0" applyFill="1" applyBorder="1"/>
    <xf numFmtId="0" fontId="3" fillId="9" borderId="25" xfId="0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left" vertical="center" wrapText="1"/>
    </xf>
    <xf numFmtId="0" fontId="0" fillId="9" borderId="11" xfId="0" applyFill="1" applyBorder="1"/>
    <xf numFmtId="0" fontId="0" fillId="9" borderId="12" xfId="0" applyFill="1" applyBorder="1"/>
    <xf numFmtId="0" fontId="3" fillId="9" borderId="10" xfId="0" applyFont="1" applyFill="1" applyBorder="1" applyAlignment="1">
      <alignment horizontal="center" vertical="center"/>
    </xf>
    <xf numFmtId="41" fontId="8" fillId="9" borderId="10" xfId="0" applyNumberFormat="1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left" vertical="center" wrapText="1"/>
    </xf>
    <xf numFmtId="0" fontId="10" fillId="9" borderId="10" xfId="0" applyFont="1" applyFill="1" applyBorder="1" applyAlignment="1">
      <alignment horizontal="left" vertical="center" wrapText="1"/>
    </xf>
    <xf numFmtId="0" fontId="2" fillId="9" borderId="10" xfId="0" applyFont="1" applyFill="1" applyBorder="1" applyAlignment="1">
      <alignment horizontal="center" vertical="center"/>
    </xf>
    <xf numFmtId="41" fontId="3" fillId="9" borderId="10" xfId="0" applyNumberFormat="1" applyFont="1" applyFill="1" applyBorder="1" applyAlignment="1">
      <alignment horizontal="center" vertical="center"/>
    </xf>
    <xf numFmtId="41" fontId="11" fillId="9" borderId="10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0" fillId="9" borderId="0" xfId="0" applyFill="1" applyAlignment="1">
      <alignment horizontal="center"/>
    </xf>
    <xf numFmtId="0" fontId="2" fillId="9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2" fillId="9" borderId="30" xfId="0" applyFont="1" applyFill="1" applyBorder="1" applyAlignment="1">
      <alignment horizontal="center" vertical="center" wrapText="1"/>
    </xf>
    <xf numFmtId="41" fontId="2" fillId="9" borderId="32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right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2" fillId="3" borderId="36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41" fontId="2" fillId="3" borderId="36" xfId="0" applyNumberFormat="1" applyFont="1" applyFill="1" applyBorder="1" applyAlignment="1">
      <alignment horizontal="center" vertical="center"/>
    </xf>
    <xf numFmtId="41" fontId="2" fillId="3" borderId="37" xfId="0" applyNumberFormat="1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41" fontId="2" fillId="9" borderId="26" xfId="0" applyNumberFormat="1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right"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3" fillId="2" borderId="43" xfId="0" applyFont="1" applyFill="1" applyBorder="1" applyAlignment="1">
      <alignment horizontal="center" vertical="center"/>
    </xf>
    <xf numFmtId="41" fontId="7" fillId="2" borderId="43" xfId="0" applyNumberFormat="1" applyFont="1" applyFill="1" applyBorder="1" applyAlignment="1">
      <alignment horizontal="center" vertical="center"/>
    </xf>
    <xf numFmtId="41" fontId="7" fillId="5" borderId="44" xfId="0" applyNumberFormat="1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center" vertical="center"/>
    </xf>
    <xf numFmtId="0" fontId="2" fillId="9" borderId="4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/>
    </xf>
    <xf numFmtId="41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1" fontId="2" fillId="0" borderId="21" xfId="0" applyNumberFormat="1" applyFont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41" fontId="2" fillId="3" borderId="21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24" xfId="0" applyFont="1" applyFill="1" applyBorder="1" applyAlignment="1">
      <alignment vertical="center"/>
    </xf>
    <xf numFmtId="0" fontId="2" fillId="7" borderId="25" xfId="0" applyFont="1" applyFill="1" applyBorder="1" applyAlignment="1">
      <alignment vertical="center"/>
    </xf>
    <xf numFmtId="0" fontId="2" fillId="7" borderId="4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6"/>
  <sheetViews>
    <sheetView topLeftCell="A3" workbookViewId="0">
      <selection activeCell="E31" sqref="E31"/>
    </sheetView>
  </sheetViews>
  <sheetFormatPr defaultRowHeight="17.399999999999999" x14ac:dyDescent="0.4"/>
  <cols>
    <col min="1" max="1" width="2.59765625" style="15" customWidth="1"/>
    <col min="2" max="2" width="2.19921875" style="15" customWidth="1"/>
    <col min="3" max="3" width="23.69921875" style="15" customWidth="1"/>
    <col min="4" max="4" width="3" style="15" customWidth="1"/>
    <col min="5" max="5" width="97.296875" style="15" customWidth="1"/>
    <col min="6" max="6" width="2.19921875" style="15" customWidth="1"/>
    <col min="7" max="16384" width="8.796875" style="15"/>
  </cols>
  <sheetData>
    <row r="1" spans="2:6" ht="12.6" customHeight="1" x14ac:dyDescent="0.4"/>
    <row r="2" spans="2:6" ht="25.2" customHeight="1" x14ac:dyDescent="0.4">
      <c r="B2" s="31"/>
      <c r="C2" s="7" t="s">
        <v>0</v>
      </c>
      <c r="D2" s="8"/>
      <c r="E2" s="9"/>
      <c r="F2" s="30"/>
    </row>
    <row r="3" spans="2:6" ht="25.95" customHeight="1" x14ac:dyDescent="0.4">
      <c r="B3" s="13"/>
      <c r="C3" s="4" t="s">
        <v>1</v>
      </c>
      <c r="D3" s="5"/>
      <c r="E3" s="6" t="s">
        <v>2</v>
      </c>
      <c r="F3" s="17"/>
    </row>
    <row r="4" spans="2:6" ht="6" customHeight="1" x14ac:dyDescent="0.4">
      <c r="B4" s="13"/>
      <c r="C4" s="14"/>
      <c r="E4" s="16"/>
      <c r="F4" s="17"/>
    </row>
    <row r="5" spans="2:6" ht="18" customHeight="1" x14ac:dyDescent="0.4">
      <c r="B5" s="13"/>
      <c r="C5" s="40" t="s">
        <v>3</v>
      </c>
      <c r="D5" s="41"/>
      <c r="E5" s="42" t="s">
        <v>4</v>
      </c>
      <c r="F5" s="17"/>
    </row>
    <row r="6" spans="2:6" ht="6" customHeight="1" x14ac:dyDescent="0.4">
      <c r="B6" s="13"/>
      <c r="C6" s="14"/>
      <c r="E6" s="16"/>
      <c r="F6" s="17"/>
    </row>
    <row r="7" spans="2:6" ht="18" customHeight="1" x14ac:dyDescent="0.4">
      <c r="B7" s="13"/>
      <c r="C7" s="35" t="s">
        <v>5</v>
      </c>
      <c r="D7" s="33"/>
      <c r="E7" s="34" t="s">
        <v>6</v>
      </c>
      <c r="F7" s="17"/>
    </row>
    <row r="8" spans="2:6" ht="18" customHeight="1" x14ac:dyDescent="0.4">
      <c r="B8" s="13"/>
      <c r="C8" s="19"/>
      <c r="D8" s="36"/>
      <c r="E8" s="18" t="s">
        <v>7</v>
      </c>
      <c r="F8" s="17"/>
    </row>
    <row r="9" spans="2:6" ht="18" customHeight="1" x14ac:dyDescent="0.4">
      <c r="B9" s="13"/>
      <c r="C9" s="22"/>
      <c r="D9" s="23"/>
      <c r="E9" s="24" t="s">
        <v>8</v>
      </c>
      <c r="F9" s="17"/>
    </row>
    <row r="10" spans="2:6" ht="6" customHeight="1" x14ac:dyDescent="0.4">
      <c r="B10" s="13"/>
      <c r="C10" s="14"/>
      <c r="E10" s="16"/>
      <c r="F10" s="17"/>
    </row>
    <row r="11" spans="2:6" ht="18" customHeight="1" x14ac:dyDescent="0.4">
      <c r="B11" s="13"/>
      <c r="C11" s="35" t="s">
        <v>9</v>
      </c>
      <c r="D11" s="33"/>
      <c r="E11" s="38" t="s">
        <v>10</v>
      </c>
      <c r="F11" s="17"/>
    </row>
    <row r="12" spans="2:6" ht="18" customHeight="1" x14ac:dyDescent="0.4">
      <c r="B12" s="13"/>
      <c r="C12" s="19"/>
      <c r="D12" s="36"/>
      <c r="E12" s="20" t="s">
        <v>11</v>
      </c>
      <c r="F12" s="17"/>
    </row>
    <row r="13" spans="2:6" ht="18" customHeight="1" x14ac:dyDescent="0.4">
      <c r="B13" s="13"/>
      <c r="C13" s="22"/>
      <c r="D13" s="23"/>
      <c r="E13" s="39" t="s">
        <v>12</v>
      </c>
      <c r="F13" s="17"/>
    </row>
    <row r="14" spans="2:6" ht="6" customHeight="1" x14ac:dyDescent="0.4">
      <c r="B14" s="13"/>
      <c r="C14" s="14"/>
      <c r="E14" s="16"/>
      <c r="F14" s="17"/>
    </row>
    <row r="15" spans="2:6" ht="18" customHeight="1" x14ac:dyDescent="0.4">
      <c r="B15" s="13"/>
      <c r="C15" s="35" t="s">
        <v>13</v>
      </c>
      <c r="D15" s="33"/>
      <c r="E15" s="34" t="s">
        <v>14</v>
      </c>
      <c r="F15" s="17"/>
    </row>
    <row r="16" spans="2:6" ht="18" customHeight="1" x14ac:dyDescent="0.4">
      <c r="B16" s="13"/>
      <c r="C16" s="19"/>
      <c r="D16" s="36"/>
      <c r="E16" s="18" t="s">
        <v>15</v>
      </c>
      <c r="F16" s="17"/>
    </row>
    <row r="17" spans="2:6" ht="18" customHeight="1" x14ac:dyDescent="0.4">
      <c r="B17" s="13"/>
      <c r="C17" s="19"/>
      <c r="D17" s="36"/>
      <c r="E17" s="18" t="s">
        <v>16</v>
      </c>
      <c r="F17" s="17"/>
    </row>
    <row r="18" spans="2:6" ht="18" customHeight="1" x14ac:dyDescent="0.4">
      <c r="B18" s="13"/>
      <c r="C18" s="19"/>
      <c r="D18" s="36"/>
      <c r="E18" s="18" t="s">
        <v>17</v>
      </c>
      <c r="F18" s="17"/>
    </row>
    <row r="19" spans="2:6" ht="18" customHeight="1" x14ac:dyDescent="0.4">
      <c r="B19" s="13"/>
      <c r="C19" s="19"/>
      <c r="D19" s="36"/>
      <c r="E19" s="18" t="s">
        <v>18</v>
      </c>
      <c r="F19" s="17"/>
    </row>
    <row r="20" spans="2:6" ht="25.95" customHeight="1" x14ac:dyDescent="0.4">
      <c r="B20" s="13"/>
      <c r="C20" s="22"/>
      <c r="D20" s="23"/>
      <c r="E20" s="37" t="s">
        <v>19</v>
      </c>
      <c r="F20" s="17"/>
    </row>
    <row r="21" spans="2:6" ht="6" customHeight="1" x14ac:dyDescent="0.4">
      <c r="B21" s="13"/>
      <c r="C21" s="14"/>
      <c r="E21" s="16"/>
      <c r="F21" s="17"/>
    </row>
    <row r="22" spans="2:6" ht="18" customHeight="1" x14ac:dyDescent="0.4">
      <c r="B22" s="13"/>
      <c r="C22" s="35" t="s">
        <v>20</v>
      </c>
      <c r="D22" s="33"/>
      <c r="E22" s="34" t="s">
        <v>21</v>
      </c>
      <c r="F22" s="17"/>
    </row>
    <row r="23" spans="2:6" ht="18" customHeight="1" x14ac:dyDescent="0.4">
      <c r="B23" s="13"/>
      <c r="C23" s="19"/>
      <c r="D23" s="36"/>
      <c r="E23" s="18" t="s">
        <v>22</v>
      </c>
      <c r="F23" s="17"/>
    </row>
    <row r="24" spans="2:6" ht="18" customHeight="1" x14ac:dyDescent="0.4">
      <c r="B24" s="13"/>
      <c r="C24" s="22"/>
      <c r="D24" s="23"/>
      <c r="E24" s="24" t="s">
        <v>23</v>
      </c>
      <c r="F24" s="17"/>
    </row>
    <row r="25" spans="2:6" ht="6" customHeight="1" x14ac:dyDescent="0.4">
      <c r="B25" s="13"/>
      <c r="C25" s="14"/>
      <c r="E25" s="16"/>
      <c r="F25" s="17"/>
    </row>
    <row r="26" spans="2:6" ht="18" customHeight="1" x14ac:dyDescent="0.4">
      <c r="B26" s="13"/>
      <c r="C26" s="35" t="s">
        <v>24</v>
      </c>
      <c r="D26" s="33"/>
      <c r="E26" s="34" t="s">
        <v>25</v>
      </c>
      <c r="F26" s="17"/>
    </row>
    <row r="27" spans="2:6" ht="18" customHeight="1" x14ac:dyDescent="0.4">
      <c r="B27" s="13"/>
      <c r="C27" s="22"/>
      <c r="D27" s="23"/>
      <c r="E27" s="24" t="s">
        <v>26</v>
      </c>
      <c r="F27" s="17"/>
    </row>
    <row r="28" spans="2:6" ht="6" customHeight="1" x14ac:dyDescent="0.4">
      <c r="B28" s="13"/>
      <c r="C28" s="14"/>
      <c r="E28" s="16"/>
      <c r="F28" s="17"/>
    </row>
    <row r="29" spans="2:6" ht="18" customHeight="1" x14ac:dyDescent="0.4">
      <c r="B29" s="13"/>
      <c r="C29" s="35" t="s">
        <v>27</v>
      </c>
      <c r="D29" s="33"/>
      <c r="E29" s="34" t="s">
        <v>192</v>
      </c>
      <c r="F29" s="17"/>
    </row>
    <row r="30" spans="2:6" ht="18" customHeight="1" x14ac:dyDescent="0.4">
      <c r="B30" s="13"/>
      <c r="C30" s="19"/>
      <c r="D30" s="36"/>
      <c r="E30" s="21" t="s">
        <v>199</v>
      </c>
      <c r="F30" s="17"/>
    </row>
    <row r="31" spans="2:6" ht="18" customHeight="1" x14ac:dyDescent="0.4">
      <c r="B31" s="13"/>
      <c r="C31" s="22"/>
      <c r="D31" s="23"/>
      <c r="E31" s="24" t="s">
        <v>193</v>
      </c>
      <c r="F31" s="17"/>
    </row>
    <row r="32" spans="2:6" ht="6" customHeight="1" x14ac:dyDescent="0.4">
      <c r="B32" s="13"/>
      <c r="C32" s="14"/>
      <c r="E32" s="16"/>
      <c r="F32" s="17"/>
    </row>
    <row r="33" spans="2:6" ht="18" customHeight="1" x14ac:dyDescent="0.4">
      <c r="B33" s="13"/>
      <c r="C33" s="32" t="s">
        <v>28</v>
      </c>
      <c r="D33" s="33"/>
      <c r="E33" s="34" t="s">
        <v>29</v>
      </c>
      <c r="F33" s="17"/>
    </row>
    <row r="34" spans="2:6" ht="18" customHeight="1" x14ac:dyDescent="0.4">
      <c r="B34" s="13"/>
      <c r="C34" s="22"/>
      <c r="D34" s="23"/>
      <c r="E34" s="24" t="s">
        <v>30</v>
      </c>
      <c r="F34" s="17"/>
    </row>
    <row r="35" spans="2:6" x14ac:dyDescent="0.4">
      <c r="B35" s="13"/>
      <c r="C35" s="25"/>
      <c r="F35" s="17"/>
    </row>
    <row r="36" spans="2:6" ht="10.050000000000001" customHeight="1" x14ac:dyDescent="0.4">
      <c r="B36" s="26"/>
      <c r="C36" s="27"/>
      <c r="D36" s="28"/>
      <c r="E36" s="28"/>
      <c r="F36" s="29"/>
    </row>
  </sheetData>
  <mergeCells count="8">
    <mergeCell ref="C2:E2"/>
    <mergeCell ref="C7:C9"/>
    <mergeCell ref="C33:C34"/>
    <mergeCell ref="C15:C20"/>
    <mergeCell ref="C11:C13"/>
    <mergeCell ref="C29:C31"/>
    <mergeCell ref="C22:C24"/>
    <mergeCell ref="C26:C27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88"/>
  <sheetViews>
    <sheetView tabSelected="1" workbookViewId="0">
      <selection activeCell="D88" sqref="D88:F88"/>
    </sheetView>
  </sheetViews>
  <sheetFormatPr defaultRowHeight="17.399999999999999" x14ac:dyDescent="0.4"/>
  <cols>
    <col min="1" max="1" width="3.8984375" style="15" customWidth="1"/>
    <col min="2" max="2" width="27.19921875" style="56" customWidth="1"/>
    <col min="3" max="3" width="16.69921875" style="56" bestFit="1" customWidth="1"/>
    <col min="4" max="4" width="52.296875" style="15" customWidth="1"/>
    <col min="5" max="6" width="22" style="15" customWidth="1"/>
    <col min="7" max="7" width="8" style="15" customWidth="1"/>
    <col min="8" max="9" width="11" style="15" customWidth="1"/>
    <col min="10" max="10" width="13" style="15" customWidth="1"/>
    <col min="11" max="16384" width="8.796875" style="15"/>
  </cols>
  <sheetData>
    <row r="2" spans="2:10" ht="20.399999999999999" customHeight="1" x14ac:dyDescent="0.4">
      <c r="B2" s="54" t="s">
        <v>31</v>
      </c>
    </row>
    <row r="3" spans="2:10" x14ac:dyDescent="0.4">
      <c r="B3" s="55" t="s">
        <v>32</v>
      </c>
    </row>
    <row r="4" spans="2:10" ht="5.4" customHeight="1" thickBot="1" x14ac:dyDescent="0.45"/>
    <row r="5" spans="2:10" ht="28.05" customHeight="1" x14ac:dyDescent="0.4">
      <c r="B5" s="61" t="s">
        <v>33</v>
      </c>
      <c r="C5" s="62" t="s">
        <v>34</v>
      </c>
      <c r="D5" s="62" t="s">
        <v>35</v>
      </c>
      <c r="E5" s="62" t="s">
        <v>36</v>
      </c>
      <c r="F5" s="62" t="s">
        <v>37</v>
      </c>
      <c r="G5" s="63" t="s">
        <v>38</v>
      </c>
      <c r="H5" s="64" t="s">
        <v>39</v>
      </c>
      <c r="I5" s="64" t="s">
        <v>40</v>
      </c>
      <c r="J5" s="65" t="s">
        <v>41</v>
      </c>
    </row>
    <row r="6" spans="2:10" ht="22.05" customHeight="1" x14ac:dyDescent="0.4">
      <c r="B6" s="66" t="s">
        <v>42</v>
      </c>
      <c r="C6" s="58"/>
      <c r="D6" s="58"/>
      <c r="E6" s="58"/>
      <c r="F6" s="58"/>
      <c r="G6" s="58"/>
      <c r="H6" s="58"/>
      <c r="I6" s="58"/>
      <c r="J6" s="67"/>
    </row>
    <row r="7" spans="2:10" ht="30" customHeight="1" x14ac:dyDescent="0.4">
      <c r="B7" s="68" t="s">
        <v>43</v>
      </c>
      <c r="C7" s="47" t="s">
        <v>44</v>
      </c>
      <c r="D7" s="49" t="s">
        <v>45</v>
      </c>
      <c r="E7" s="49" t="s">
        <v>46</v>
      </c>
      <c r="F7" s="50" t="s">
        <v>47</v>
      </c>
      <c r="G7" s="51">
        <v>24</v>
      </c>
      <c r="H7" s="52">
        <v>500000</v>
      </c>
      <c r="I7" s="52">
        <v>0</v>
      </c>
      <c r="J7" s="69">
        <f t="shared" ref="J7:J13" si="0">H7*G7</f>
        <v>12000000</v>
      </c>
    </row>
    <row r="8" spans="2:10" ht="30" customHeight="1" x14ac:dyDescent="0.4">
      <c r="B8" s="68" t="s">
        <v>48</v>
      </c>
      <c r="C8" s="47" t="s">
        <v>49</v>
      </c>
      <c r="D8" s="49" t="s">
        <v>50</v>
      </c>
      <c r="E8" s="49" t="s">
        <v>51</v>
      </c>
      <c r="F8" s="50" t="s">
        <v>52</v>
      </c>
      <c r="G8" s="51">
        <v>24</v>
      </c>
      <c r="H8" s="52">
        <v>250000</v>
      </c>
      <c r="I8" s="52">
        <v>0</v>
      </c>
      <c r="J8" s="69">
        <f t="shared" si="0"/>
        <v>6000000</v>
      </c>
    </row>
    <row r="9" spans="2:10" ht="30" customHeight="1" x14ac:dyDescent="0.4">
      <c r="B9" s="68" t="s">
        <v>53</v>
      </c>
      <c r="C9" s="47" t="s">
        <v>54</v>
      </c>
      <c r="D9" s="49" t="s">
        <v>55</v>
      </c>
      <c r="E9" s="49" t="s">
        <v>56</v>
      </c>
      <c r="F9" s="50" t="s">
        <v>47</v>
      </c>
      <c r="G9" s="51">
        <v>10</v>
      </c>
      <c r="H9" s="52">
        <v>100000</v>
      </c>
      <c r="I9" s="52">
        <v>0</v>
      </c>
      <c r="J9" s="69">
        <f t="shared" si="0"/>
        <v>1000000</v>
      </c>
    </row>
    <row r="10" spans="2:10" ht="30" customHeight="1" x14ac:dyDescent="0.4">
      <c r="B10" s="68" t="s">
        <v>57</v>
      </c>
      <c r="C10" s="47" t="s">
        <v>44</v>
      </c>
      <c r="D10" s="49" t="s">
        <v>58</v>
      </c>
      <c r="E10" s="49" t="s">
        <v>59</v>
      </c>
      <c r="F10" s="50" t="s">
        <v>194</v>
      </c>
      <c r="G10" s="51">
        <v>2</v>
      </c>
      <c r="H10" s="52">
        <v>1000000</v>
      </c>
      <c r="I10" s="52">
        <v>0</v>
      </c>
      <c r="J10" s="69">
        <f t="shared" si="0"/>
        <v>2000000</v>
      </c>
    </row>
    <row r="11" spans="2:10" ht="30" customHeight="1" x14ac:dyDescent="0.4">
      <c r="B11" s="68" t="s">
        <v>61</v>
      </c>
      <c r="C11" s="47" t="s">
        <v>44</v>
      </c>
      <c r="D11" s="49" t="s">
        <v>62</v>
      </c>
      <c r="E11" s="49" t="s">
        <v>63</v>
      </c>
      <c r="F11" s="50" t="s">
        <v>195</v>
      </c>
      <c r="G11" s="51">
        <v>1</v>
      </c>
      <c r="H11" s="52">
        <v>1250000</v>
      </c>
      <c r="I11" s="52">
        <v>0</v>
      </c>
      <c r="J11" s="69">
        <f t="shared" si="0"/>
        <v>1250000</v>
      </c>
    </row>
    <row r="12" spans="2:10" ht="30" customHeight="1" x14ac:dyDescent="0.4">
      <c r="B12" s="68" t="s">
        <v>65</v>
      </c>
      <c r="C12" s="47" t="s">
        <v>66</v>
      </c>
      <c r="D12" s="49" t="s">
        <v>67</v>
      </c>
      <c r="E12" s="49" t="s">
        <v>68</v>
      </c>
      <c r="F12" s="50" t="s">
        <v>196</v>
      </c>
      <c r="G12" s="51">
        <v>10</v>
      </c>
      <c r="H12" s="52">
        <v>100000</v>
      </c>
      <c r="I12" s="52">
        <v>0</v>
      </c>
      <c r="J12" s="69">
        <f t="shared" si="0"/>
        <v>1000000</v>
      </c>
    </row>
    <row r="13" spans="2:10" ht="30" customHeight="1" x14ac:dyDescent="0.4">
      <c r="B13" s="68" t="s">
        <v>70</v>
      </c>
      <c r="C13" s="47" t="s">
        <v>71</v>
      </c>
      <c r="D13" s="49" t="s">
        <v>197</v>
      </c>
      <c r="E13" s="49" t="s">
        <v>72</v>
      </c>
      <c r="F13" s="50" t="s">
        <v>72</v>
      </c>
      <c r="G13" s="51">
        <v>1</v>
      </c>
      <c r="H13" s="52">
        <v>1550000</v>
      </c>
      <c r="I13" s="52">
        <v>0</v>
      </c>
      <c r="J13" s="69">
        <f t="shared" si="0"/>
        <v>1550000</v>
      </c>
    </row>
    <row r="14" spans="2:10" ht="18" thickBot="1" x14ac:dyDescent="0.45">
      <c r="B14" s="70" t="s">
        <v>73</v>
      </c>
      <c r="C14" s="71"/>
      <c r="D14" s="71"/>
      <c r="E14" s="71"/>
      <c r="F14" s="72"/>
      <c r="G14" s="73">
        <f>SUM(G7:G13)</f>
        <v>72</v>
      </c>
      <c r="H14" s="74"/>
      <c r="I14" s="75">
        <f>SUM(I7:I13)</f>
        <v>0</v>
      </c>
      <c r="J14" s="76">
        <f>SUM(J7:J13)</f>
        <v>24800000</v>
      </c>
    </row>
    <row r="15" spans="2:10" ht="22.05" customHeight="1" x14ac:dyDescent="0.4">
      <c r="B15" s="77" t="s">
        <v>74</v>
      </c>
      <c r="C15" s="78"/>
      <c r="D15" s="78"/>
      <c r="E15" s="78"/>
      <c r="F15" s="78"/>
      <c r="G15" s="78"/>
      <c r="H15" s="78"/>
      <c r="I15" s="78"/>
      <c r="J15" s="79"/>
    </row>
    <row r="16" spans="2:10" ht="30" customHeight="1" x14ac:dyDescent="0.4">
      <c r="B16" s="68" t="s">
        <v>43</v>
      </c>
      <c r="C16" s="47" t="s">
        <v>44</v>
      </c>
      <c r="D16" s="49" t="s">
        <v>75</v>
      </c>
      <c r="E16" s="49" t="s">
        <v>46</v>
      </c>
      <c r="F16" s="50" t="s">
        <v>47</v>
      </c>
      <c r="G16" s="51">
        <v>47</v>
      </c>
      <c r="H16" s="52">
        <v>500000</v>
      </c>
      <c r="I16" s="52">
        <v>0</v>
      </c>
      <c r="J16" s="69">
        <f t="shared" ref="J16:J24" si="1">H16*G16</f>
        <v>23500000</v>
      </c>
    </row>
    <row r="17" spans="2:10" ht="30" customHeight="1" x14ac:dyDescent="0.4">
      <c r="B17" s="68" t="s">
        <v>48</v>
      </c>
      <c r="C17" s="47" t="s">
        <v>49</v>
      </c>
      <c r="D17" s="49" t="s">
        <v>76</v>
      </c>
      <c r="E17" s="49" t="s">
        <v>51</v>
      </c>
      <c r="F17" s="50" t="s">
        <v>52</v>
      </c>
      <c r="G17" s="51">
        <v>47</v>
      </c>
      <c r="H17" s="52">
        <v>250000</v>
      </c>
      <c r="I17" s="52">
        <v>0</v>
      </c>
      <c r="J17" s="69">
        <f t="shared" si="1"/>
        <v>11750000</v>
      </c>
    </row>
    <row r="18" spans="2:10" ht="30" customHeight="1" x14ac:dyDescent="0.4">
      <c r="B18" s="68" t="s">
        <v>77</v>
      </c>
      <c r="C18" s="47" t="s">
        <v>78</v>
      </c>
      <c r="D18" s="49" t="s">
        <v>79</v>
      </c>
      <c r="E18" s="49" t="s">
        <v>80</v>
      </c>
      <c r="F18" s="50" t="s">
        <v>81</v>
      </c>
      <c r="G18" s="51">
        <v>5</v>
      </c>
      <c r="H18" s="52">
        <v>800000</v>
      </c>
      <c r="I18" s="52">
        <v>0</v>
      </c>
      <c r="J18" s="69">
        <f t="shared" si="1"/>
        <v>4000000</v>
      </c>
    </row>
    <row r="19" spans="2:10" ht="30" customHeight="1" x14ac:dyDescent="0.4">
      <c r="B19" s="68" t="s">
        <v>53</v>
      </c>
      <c r="C19" s="47" t="s">
        <v>54</v>
      </c>
      <c r="D19" s="49" t="s">
        <v>82</v>
      </c>
      <c r="E19" s="49" t="s">
        <v>56</v>
      </c>
      <c r="F19" s="50" t="s">
        <v>47</v>
      </c>
      <c r="G19" s="51">
        <v>10</v>
      </c>
      <c r="H19" s="52">
        <v>100000</v>
      </c>
      <c r="I19" s="52">
        <v>0</v>
      </c>
      <c r="J19" s="69">
        <f t="shared" si="1"/>
        <v>1000000</v>
      </c>
    </row>
    <row r="20" spans="2:10" ht="30" customHeight="1" x14ac:dyDescent="0.4">
      <c r="B20" s="68" t="s">
        <v>83</v>
      </c>
      <c r="C20" s="47" t="s">
        <v>84</v>
      </c>
      <c r="D20" s="49" t="s">
        <v>85</v>
      </c>
      <c r="E20" s="49" t="s">
        <v>86</v>
      </c>
      <c r="F20" s="50" t="s">
        <v>87</v>
      </c>
      <c r="G20" s="51">
        <v>5</v>
      </c>
      <c r="H20" s="52">
        <v>500000</v>
      </c>
      <c r="I20" s="52">
        <v>0</v>
      </c>
      <c r="J20" s="69">
        <f t="shared" si="1"/>
        <v>2500000</v>
      </c>
    </row>
    <row r="21" spans="2:10" ht="30" customHeight="1" x14ac:dyDescent="0.4">
      <c r="B21" s="68" t="s">
        <v>88</v>
      </c>
      <c r="C21" s="47" t="s">
        <v>89</v>
      </c>
      <c r="D21" s="49" t="s">
        <v>90</v>
      </c>
      <c r="E21" s="49" t="s">
        <v>91</v>
      </c>
      <c r="F21" s="50" t="s">
        <v>92</v>
      </c>
      <c r="G21" s="51">
        <v>5</v>
      </c>
      <c r="H21" s="52">
        <v>300000</v>
      </c>
      <c r="I21" s="52">
        <v>0</v>
      </c>
      <c r="J21" s="69">
        <f t="shared" si="1"/>
        <v>1500000</v>
      </c>
    </row>
    <row r="22" spans="2:10" ht="30" customHeight="1" x14ac:dyDescent="0.4">
      <c r="B22" s="68" t="s">
        <v>57</v>
      </c>
      <c r="C22" s="47" t="s">
        <v>44</v>
      </c>
      <c r="D22" s="49" t="s">
        <v>93</v>
      </c>
      <c r="E22" s="49" t="s">
        <v>59</v>
      </c>
      <c r="F22" s="50" t="s">
        <v>60</v>
      </c>
      <c r="G22" s="51">
        <v>2</v>
      </c>
      <c r="H22" s="52">
        <v>1000000</v>
      </c>
      <c r="I22" s="52">
        <v>0</v>
      </c>
      <c r="J22" s="69">
        <f t="shared" si="1"/>
        <v>2000000</v>
      </c>
    </row>
    <row r="23" spans="2:10" ht="30" customHeight="1" x14ac:dyDescent="0.4">
      <c r="B23" s="68" t="s">
        <v>61</v>
      </c>
      <c r="C23" s="47" t="s">
        <v>44</v>
      </c>
      <c r="D23" s="49" t="s">
        <v>94</v>
      </c>
      <c r="E23" s="49" t="s">
        <v>63</v>
      </c>
      <c r="F23" s="50" t="s">
        <v>64</v>
      </c>
      <c r="G23" s="51">
        <v>1</v>
      </c>
      <c r="H23" s="52">
        <v>1250000</v>
      </c>
      <c r="I23" s="52">
        <v>0</v>
      </c>
      <c r="J23" s="69">
        <f t="shared" si="1"/>
        <v>1250000</v>
      </c>
    </row>
    <row r="24" spans="2:10" ht="30" customHeight="1" x14ac:dyDescent="0.4">
      <c r="B24" s="68" t="s">
        <v>95</v>
      </c>
      <c r="C24" s="47" t="s">
        <v>96</v>
      </c>
      <c r="D24" s="49" t="s">
        <v>97</v>
      </c>
      <c r="E24" s="49" t="s">
        <v>98</v>
      </c>
      <c r="F24" s="50" t="s">
        <v>99</v>
      </c>
      <c r="G24" s="51">
        <v>3</v>
      </c>
      <c r="H24" s="52">
        <v>800000</v>
      </c>
      <c r="I24" s="52">
        <v>0</v>
      </c>
      <c r="J24" s="69">
        <f t="shared" si="1"/>
        <v>2400000</v>
      </c>
    </row>
    <row r="25" spans="2:10" ht="30" customHeight="1" x14ac:dyDescent="0.4">
      <c r="B25" s="68" t="s">
        <v>100</v>
      </c>
      <c r="C25" s="47" t="s">
        <v>101</v>
      </c>
      <c r="D25" s="49" t="s">
        <v>102</v>
      </c>
      <c r="E25" s="49" t="s">
        <v>103</v>
      </c>
      <c r="F25" s="50" t="s">
        <v>104</v>
      </c>
      <c r="G25" s="51">
        <v>1</v>
      </c>
      <c r="H25" s="52">
        <v>5000000</v>
      </c>
      <c r="I25" s="53">
        <f>H25*G25*0.2</f>
        <v>1000000</v>
      </c>
      <c r="J25" s="69">
        <f>H25*G25*1.2</f>
        <v>6000000</v>
      </c>
    </row>
    <row r="26" spans="2:10" ht="30" customHeight="1" x14ac:dyDescent="0.4">
      <c r="B26" s="68" t="s">
        <v>105</v>
      </c>
      <c r="C26" s="47" t="s">
        <v>106</v>
      </c>
      <c r="D26" s="49" t="s">
        <v>107</v>
      </c>
      <c r="E26" s="49" t="s">
        <v>108</v>
      </c>
      <c r="F26" s="50" t="s">
        <v>109</v>
      </c>
      <c r="G26" s="51">
        <v>1</v>
      </c>
      <c r="H26" s="52">
        <v>5000000</v>
      </c>
      <c r="I26" s="53">
        <f>H26*G26*0.2</f>
        <v>1000000</v>
      </c>
      <c r="J26" s="69">
        <f>H26*G26*1.2</f>
        <v>6000000</v>
      </c>
    </row>
    <row r="27" spans="2:10" ht="30" customHeight="1" x14ac:dyDescent="0.4">
      <c r="B27" s="68" t="s">
        <v>65</v>
      </c>
      <c r="C27" s="47" t="s">
        <v>66</v>
      </c>
      <c r="D27" s="49" t="s">
        <v>110</v>
      </c>
      <c r="E27" s="49" t="s">
        <v>68</v>
      </c>
      <c r="F27" s="50" t="s">
        <v>69</v>
      </c>
      <c r="G27" s="51">
        <v>10</v>
      </c>
      <c r="H27" s="52">
        <v>100000</v>
      </c>
      <c r="I27" s="52">
        <v>0</v>
      </c>
      <c r="J27" s="69">
        <f>H27*G27</f>
        <v>1000000</v>
      </c>
    </row>
    <row r="28" spans="2:10" ht="30" customHeight="1" x14ac:dyDescent="0.4">
      <c r="B28" s="68" t="s">
        <v>70</v>
      </c>
      <c r="C28" s="47" t="s">
        <v>71</v>
      </c>
      <c r="D28" s="49" t="s">
        <v>111</v>
      </c>
      <c r="E28" s="49" t="s">
        <v>72</v>
      </c>
      <c r="F28" s="50" t="s">
        <v>72</v>
      </c>
      <c r="G28" s="51">
        <v>1</v>
      </c>
      <c r="H28" s="52">
        <v>1550000</v>
      </c>
      <c r="I28" s="52">
        <v>0</v>
      </c>
      <c r="J28" s="69">
        <f>H28*G28</f>
        <v>1550000</v>
      </c>
    </row>
    <row r="29" spans="2:10" ht="18" thickBot="1" x14ac:dyDescent="0.45">
      <c r="B29" s="70" t="s">
        <v>112</v>
      </c>
      <c r="C29" s="71"/>
      <c r="D29" s="71"/>
      <c r="E29" s="71"/>
      <c r="F29" s="72"/>
      <c r="G29" s="73">
        <f>SUM(G16:G28)</f>
        <v>138</v>
      </c>
      <c r="H29" s="74"/>
      <c r="I29" s="75">
        <f>SUM(I16:I28)</f>
        <v>2000000</v>
      </c>
      <c r="J29" s="76">
        <f>SUM(J16:J28)</f>
        <v>64450000</v>
      </c>
    </row>
    <row r="30" spans="2:10" ht="22.05" customHeight="1" x14ac:dyDescent="0.4">
      <c r="B30" s="77" t="s">
        <v>113</v>
      </c>
      <c r="C30" s="78"/>
      <c r="D30" s="78"/>
      <c r="E30" s="78"/>
      <c r="F30" s="78"/>
      <c r="G30" s="78"/>
      <c r="H30" s="78"/>
      <c r="I30" s="78"/>
      <c r="J30" s="79"/>
    </row>
    <row r="31" spans="2:10" ht="30" customHeight="1" x14ac:dyDescent="0.4">
      <c r="B31" s="68" t="s">
        <v>43</v>
      </c>
      <c r="C31" s="47" t="s">
        <v>44</v>
      </c>
      <c r="D31" s="49" t="s">
        <v>114</v>
      </c>
      <c r="E31" s="49" t="s">
        <v>46</v>
      </c>
      <c r="F31" s="50" t="s">
        <v>47</v>
      </c>
      <c r="G31" s="51">
        <v>28</v>
      </c>
      <c r="H31" s="52">
        <v>500000</v>
      </c>
      <c r="I31" s="52">
        <v>0</v>
      </c>
      <c r="J31" s="69">
        <f t="shared" ref="J31:J37" si="2">H31*G31</f>
        <v>14000000</v>
      </c>
    </row>
    <row r="32" spans="2:10" ht="30" customHeight="1" x14ac:dyDescent="0.4">
      <c r="B32" s="68" t="s">
        <v>48</v>
      </c>
      <c r="C32" s="47" t="s">
        <v>49</v>
      </c>
      <c r="D32" s="49" t="s">
        <v>115</v>
      </c>
      <c r="E32" s="49" t="s">
        <v>51</v>
      </c>
      <c r="F32" s="50" t="s">
        <v>52</v>
      </c>
      <c r="G32" s="51">
        <v>28</v>
      </c>
      <c r="H32" s="52">
        <v>250000</v>
      </c>
      <c r="I32" s="52">
        <v>0</v>
      </c>
      <c r="J32" s="69">
        <f t="shared" si="2"/>
        <v>7000000</v>
      </c>
    </row>
    <row r="33" spans="2:10" ht="30" customHeight="1" x14ac:dyDescent="0.4">
      <c r="B33" s="68" t="s">
        <v>53</v>
      </c>
      <c r="C33" s="47" t="s">
        <v>54</v>
      </c>
      <c r="D33" s="49" t="s">
        <v>116</v>
      </c>
      <c r="E33" s="49" t="s">
        <v>56</v>
      </c>
      <c r="F33" s="50" t="s">
        <v>47</v>
      </c>
      <c r="G33" s="51">
        <v>10</v>
      </c>
      <c r="H33" s="52">
        <v>100000</v>
      </c>
      <c r="I33" s="52">
        <v>0</v>
      </c>
      <c r="J33" s="69">
        <f t="shared" si="2"/>
        <v>1000000</v>
      </c>
    </row>
    <row r="34" spans="2:10" ht="30" customHeight="1" x14ac:dyDescent="0.4">
      <c r="B34" s="68" t="s">
        <v>57</v>
      </c>
      <c r="C34" s="47" t="s">
        <v>44</v>
      </c>
      <c r="D34" s="49" t="s">
        <v>117</v>
      </c>
      <c r="E34" s="49" t="s">
        <v>59</v>
      </c>
      <c r="F34" s="50" t="s">
        <v>60</v>
      </c>
      <c r="G34" s="51">
        <v>2</v>
      </c>
      <c r="H34" s="52">
        <v>1000000</v>
      </c>
      <c r="I34" s="52">
        <v>0</v>
      </c>
      <c r="J34" s="69">
        <f t="shared" si="2"/>
        <v>2000000</v>
      </c>
    </row>
    <row r="35" spans="2:10" ht="30" customHeight="1" x14ac:dyDescent="0.4">
      <c r="B35" s="68" t="s">
        <v>61</v>
      </c>
      <c r="C35" s="47" t="s">
        <v>44</v>
      </c>
      <c r="D35" s="49" t="s">
        <v>118</v>
      </c>
      <c r="E35" s="49" t="s">
        <v>63</v>
      </c>
      <c r="F35" s="50" t="s">
        <v>64</v>
      </c>
      <c r="G35" s="51">
        <v>1</v>
      </c>
      <c r="H35" s="52">
        <v>1250000</v>
      </c>
      <c r="I35" s="52">
        <v>0</v>
      </c>
      <c r="J35" s="69">
        <f t="shared" si="2"/>
        <v>1250000</v>
      </c>
    </row>
    <row r="36" spans="2:10" ht="30" customHeight="1" x14ac:dyDescent="0.4">
      <c r="B36" s="68" t="s">
        <v>65</v>
      </c>
      <c r="C36" s="47" t="s">
        <v>66</v>
      </c>
      <c r="D36" s="49" t="s">
        <v>119</v>
      </c>
      <c r="E36" s="49" t="s">
        <v>68</v>
      </c>
      <c r="F36" s="50" t="s">
        <v>69</v>
      </c>
      <c r="G36" s="51">
        <v>10</v>
      </c>
      <c r="H36" s="52">
        <v>100000</v>
      </c>
      <c r="I36" s="52">
        <v>0</v>
      </c>
      <c r="J36" s="69">
        <f t="shared" si="2"/>
        <v>1000000</v>
      </c>
    </row>
    <row r="37" spans="2:10" ht="30" customHeight="1" x14ac:dyDescent="0.4">
      <c r="B37" s="68" t="s">
        <v>70</v>
      </c>
      <c r="C37" s="47" t="s">
        <v>71</v>
      </c>
      <c r="D37" s="49" t="s">
        <v>120</v>
      </c>
      <c r="E37" s="49" t="s">
        <v>72</v>
      </c>
      <c r="F37" s="50" t="s">
        <v>72</v>
      </c>
      <c r="G37" s="51">
        <v>1</v>
      </c>
      <c r="H37" s="52">
        <v>1550000</v>
      </c>
      <c r="I37" s="52">
        <v>0</v>
      </c>
      <c r="J37" s="69">
        <f t="shared" si="2"/>
        <v>1550000</v>
      </c>
    </row>
    <row r="38" spans="2:10" ht="18" thickBot="1" x14ac:dyDescent="0.45">
      <c r="B38" s="70" t="s">
        <v>121</v>
      </c>
      <c r="C38" s="71"/>
      <c r="D38" s="71"/>
      <c r="E38" s="71"/>
      <c r="F38" s="72"/>
      <c r="G38" s="73">
        <f>SUM(G31:G37)</f>
        <v>80</v>
      </c>
      <c r="H38" s="74"/>
      <c r="I38" s="75">
        <f>SUM(I31:I37)</f>
        <v>0</v>
      </c>
      <c r="J38" s="76">
        <f>SUM(J31:J37)</f>
        <v>27800000</v>
      </c>
    </row>
    <row r="39" spans="2:10" ht="22.05" customHeight="1" x14ac:dyDescent="0.4">
      <c r="B39" s="77" t="s">
        <v>122</v>
      </c>
      <c r="C39" s="78"/>
      <c r="D39" s="78"/>
      <c r="E39" s="78"/>
      <c r="F39" s="78"/>
      <c r="G39" s="78"/>
      <c r="H39" s="78"/>
      <c r="I39" s="78"/>
      <c r="J39" s="79"/>
    </row>
    <row r="40" spans="2:10" ht="30" customHeight="1" x14ac:dyDescent="0.4">
      <c r="B40" s="68" t="s">
        <v>43</v>
      </c>
      <c r="C40" s="47" t="s">
        <v>44</v>
      </c>
      <c r="D40" s="49" t="s">
        <v>123</v>
      </c>
      <c r="E40" s="49" t="s">
        <v>46</v>
      </c>
      <c r="F40" s="50" t="s">
        <v>47</v>
      </c>
      <c r="G40" s="51">
        <v>24</v>
      </c>
      <c r="H40" s="52">
        <v>500000</v>
      </c>
      <c r="I40" s="52">
        <v>0</v>
      </c>
      <c r="J40" s="69">
        <f t="shared" ref="J40:J46" si="3">H40*G40</f>
        <v>12000000</v>
      </c>
    </row>
    <row r="41" spans="2:10" ht="30" customHeight="1" x14ac:dyDescent="0.4">
      <c r="B41" s="68" t="s">
        <v>48</v>
      </c>
      <c r="C41" s="47" t="s">
        <v>49</v>
      </c>
      <c r="D41" s="49" t="s">
        <v>124</v>
      </c>
      <c r="E41" s="49" t="s">
        <v>51</v>
      </c>
      <c r="F41" s="50" t="s">
        <v>52</v>
      </c>
      <c r="G41" s="51">
        <v>24</v>
      </c>
      <c r="H41" s="52">
        <v>250000</v>
      </c>
      <c r="I41" s="52">
        <v>0</v>
      </c>
      <c r="J41" s="69">
        <f t="shared" si="3"/>
        <v>6000000</v>
      </c>
    </row>
    <row r="42" spans="2:10" ht="30" customHeight="1" x14ac:dyDescent="0.4">
      <c r="B42" s="68" t="s">
        <v>53</v>
      </c>
      <c r="C42" s="47" t="s">
        <v>54</v>
      </c>
      <c r="D42" s="49" t="s">
        <v>125</v>
      </c>
      <c r="E42" s="49" t="s">
        <v>56</v>
      </c>
      <c r="F42" s="50" t="s">
        <v>47</v>
      </c>
      <c r="G42" s="51">
        <v>10</v>
      </c>
      <c r="H42" s="52">
        <v>100000</v>
      </c>
      <c r="I42" s="52">
        <v>0</v>
      </c>
      <c r="J42" s="69">
        <f t="shared" si="3"/>
        <v>1000000</v>
      </c>
    </row>
    <row r="43" spans="2:10" ht="30" customHeight="1" x14ac:dyDescent="0.4">
      <c r="B43" s="68" t="s">
        <v>57</v>
      </c>
      <c r="C43" s="47" t="s">
        <v>44</v>
      </c>
      <c r="D43" s="49" t="s">
        <v>126</v>
      </c>
      <c r="E43" s="49" t="s">
        <v>59</v>
      </c>
      <c r="F43" s="50" t="s">
        <v>60</v>
      </c>
      <c r="G43" s="51">
        <v>2</v>
      </c>
      <c r="H43" s="52">
        <v>1000000</v>
      </c>
      <c r="I43" s="52">
        <v>0</v>
      </c>
      <c r="J43" s="69">
        <f t="shared" si="3"/>
        <v>2000000</v>
      </c>
    </row>
    <row r="44" spans="2:10" ht="30" customHeight="1" x14ac:dyDescent="0.4">
      <c r="B44" s="68" t="s">
        <v>61</v>
      </c>
      <c r="C44" s="47" t="s">
        <v>44</v>
      </c>
      <c r="D44" s="49" t="s">
        <v>127</v>
      </c>
      <c r="E44" s="49" t="s">
        <v>63</v>
      </c>
      <c r="F44" s="50" t="s">
        <v>64</v>
      </c>
      <c r="G44" s="51">
        <v>1</v>
      </c>
      <c r="H44" s="52">
        <v>1250000</v>
      </c>
      <c r="I44" s="52">
        <v>0</v>
      </c>
      <c r="J44" s="69">
        <f t="shared" si="3"/>
        <v>1250000</v>
      </c>
    </row>
    <row r="45" spans="2:10" ht="30" customHeight="1" x14ac:dyDescent="0.4">
      <c r="B45" s="68" t="s">
        <v>65</v>
      </c>
      <c r="C45" s="47" t="s">
        <v>66</v>
      </c>
      <c r="D45" s="49" t="s">
        <v>128</v>
      </c>
      <c r="E45" s="49" t="s">
        <v>68</v>
      </c>
      <c r="F45" s="50" t="s">
        <v>69</v>
      </c>
      <c r="G45" s="51">
        <v>10</v>
      </c>
      <c r="H45" s="52">
        <v>100000</v>
      </c>
      <c r="I45" s="52">
        <v>0</v>
      </c>
      <c r="J45" s="69">
        <f t="shared" si="3"/>
        <v>1000000</v>
      </c>
    </row>
    <row r="46" spans="2:10" ht="30" customHeight="1" x14ac:dyDescent="0.4">
      <c r="B46" s="68" t="s">
        <v>70</v>
      </c>
      <c r="C46" s="47" t="s">
        <v>71</v>
      </c>
      <c r="D46" s="49" t="s">
        <v>129</v>
      </c>
      <c r="E46" s="49" t="s">
        <v>72</v>
      </c>
      <c r="F46" s="50" t="s">
        <v>72</v>
      </c>
      <c r="G46" s="51">
        <v>1</v>
      </c>
      <c r="H46" s="52">
        <v>1550000</v>
      </c>
      <c r="I46" s="52">
        <v>0</v>
      </c>
      <c r="J46" s="69">
        <f t="shared" si="3"/>
        <v>1550000</v>
      </c>
    </row>
    <row r="47" spans="2:10" ht="18" thickBot="1" x14ac:dyDescent="0.45">
      <c r="B47" s="70" t="s">
        <v>130</v>
      </c>
      <c r="C47" s="71"/>
      <c r="D47" s="71"/>
      <c r="E47" s="71"/>
      <c r="F47" s="72"/>
      <c r="G47" s="73">
        <f>SUM(G40:G46)</f>
        <v>72</v>
      </c>
      <c r="H47" s="74"/>
      <c r="I47" s="75">
        <f>SUM(I40:I46)</f>
        <v>0</v>
      </c>
      <c r="J47" s="76">
        <f>SUM(J40:J46)</f>
        <v>24800000</v>
      </c>
    </row>
    <row r="48" spans="2:10" ht="22.05" customHeight="1" x14ac:dyDescent="0.4">
      <c r="B48" s="77" t="s">
        <v>131</v>
      </c>
      <c r="C48" s="78"/>
      <c r="D48" s="78"/>
      <c r="E48" s="78"/>
      <c r="F48" s="78"/>
      <c r="G48" s="78"/>
      <c r="H48" s="78"/>
      <c r="I48" s="78"/>
      <c r="J48" s="79"/>
    </row>
    <row r="49" spans="2:10" ht="30" customHeight="1" x14ac:dyDescent="0.4">
      <c r="B49" s="68" t="s">
        <v>43</v>
      </c>
      <c r="C49" s="47" t="s">
        <v>44</v>
      </c>
      <c r="D49" s="49" t="s">
        <v>132</v>
      </c>
      <c r="E49" s="49" t="s">
        <v>46</v>
      </c>
      <c r="F49" s="50" t="s">
        <v>47</v>
      </c>
      <c r="G49" s="51">
        <v>33</v>
      </c>
      <c r="H49" s="52">
        <v>500000</v>
      </c>
      <c r="I49" s="52">
        <v>0</v>
      </c>
      <c r="J49" s="69">
        <f t="shared" ref="J49:J57" si="4">H49*G49</f>
        <v>16500000</v>
      </c>
    </row>
    <row r="50" spans="2:10" ht="30" customHeight="1" x14ac:dyDescent="0.4">
      <c r="B50" s="68" t="s">
        <v>48</v>
      </c>
      <c r="C50" s="47" t="s">
        <v>49</v>
      </c>
      <c r="D50" s="49" t="s">
        <v>133</v>
      </c>
      <c r="E50" s="49" t="s">
        <v>51</v>
      </c>
      <c r="F50" s="50" t="s">
        <v>52</v>
      </c>
      <c r="G50" s="51">
        <v>33</v>
      </c>
      <c r="H50" s="52">
        <v>250000</v>
      </c>
      <c r="I50" s="52">
        <v>0</v>
      </c>
      <c r="J50" s="69">
        <f t="shared" si="4"/>
        <v>8250000</v>
      </c>
    </row>
    <row r="51" spans="2:10" ht="30" customHeight="1" x14ac:dyDescent="0.4">
      <c r="B51" s="68" t="s">
        <v>77</v>
      </c>
      <c r="C51" s="47" t="s">
        <v>78</v>
      </c>
      <c r="D51" s="49" t="s">
        <v>134</v>
      </c>
      <c r="E51" s="49" t="s">
        <v>80</v>
      </c>
      <c r="F51" s="50" t="s">
        <v>81</v>
      </c>
      <c r="G51" s="51">
        <v>5</v>
      </c>
      <c r="H51" s="52">
        <v>800000</v>
      </c>
      <c r="I51" s="52">
        <v>0</v>
      </c>
      <c r="J51" s="69">
        <f t="shared" si="4"/>
        <v>4000000</v>
      </c>
    </row>
    <row r="52" spans="2:10" ht="30" customHeight="1" x14ac:dyDescent="0.4">
      <c r="B52" s="68" t="s">
        <v>53</v>
      </c>
      <c r="C52" s="47" t="s">
        <v>54</v>
      </c>
      <c r="D52" s="49" t="s">
        <v>135</v>
      </c>
      <c r="E52" s="49" t="s">
        <v>56</v>
      </c>
      <c r="F52" s="50" t="s">
        <v>47</v>
      </c>
      <c r="G52" s="51">
        <v>10</v>
      </c>
      <c r="H52" s="52">
        <v>100000</v>
      </c>
      <c r="I52" s="52">
        <v>0</v>
      </c>
      <c r="J52" s="69">
        <f t="shared" si="4"/>
        <v>1000000</v>
      </c>
    </row>
    <row r="53" spans="2:10" ht="30" customHeight="1" x14ac:dyDescent="0.4">
      <c r="B53" s="68" t="s">
        <v>83</v>
      </c>
      <c r="C53" s="47" t="s">
        <v>84</v>
      </c>
      <c r="D53" s="49" t="s">
        <v>136</v>
      </c>
      <c r="E53" s="49" t="s">
        <v>86</v>
      </c>
      <c r="F53" s="50" t="s">
        <v>87</v>
      </c>
      <c r="G53" s="51">
        <v>5</v>
      </c>
      <c r="H53" s="52">
        <v>500000</v>
      </c>
      <c r="I53" s="52">
        <v>0</v>
      </c>
      <c r="J53" s="69">
        <f t="shared" si="4"/>
        <v>2500000</v>
      </c>
    </row>
    <row r="54" spans="2:10" ht="30" customHeight="1" x14ac:dyDescent="0.4">
      <c r="B54" s="68" t="s">
        <v>88</v>
      </c>
      <c r="C54" s="47" t="s">
        <v>89</v>
      </c>
      <c r="D54" s="49" t="s">
        <v>137</v>
      </c>
      <c r="E54" s="49" t="s">
        <v>91</v>
      </c>
      <c r="F54" s="50" t="s">
        <v>92</v>
      </c>
      <c r="G54" s="51">
        <v>5</v>
      </c>
      <c r="H54" s="52">
        <v>300000</v>
      </c>
      <c r="I54" s="52">
        <v>0</v>
      </c>
      <c r="J54" s="69">
        <f t="shared" si="4"/>
        <v>1500000</v>
      </c>
    </row>
    <row r="55" spans="2:10" ht="30" customHeight="1" x14ac:dyDescent="0.4">
      <c r="B55" s="68" t="s">
        <v>57</v>
      </c>
      <c r="C55" s="47" t="s">
        <v>44</v>
      </c>
      <c r="D55" s="49" t="s">
        <v>138</v>
      </c>
      <c r="E55" s="49" t="s">
        <v>59</v>
      </c>
      <c r="F55" s="50" t="s">
        <v>60</v>
      </c>
      <c r="G55" s="51">
        <v>2</v>
      </c>
      <c r="H55" s="52">
        <v>1000000</v>
      </c>
      <c r="I55" s="52">
        <v>0</v>
      </c>
      <c r="J55" s="69">
        <f t="shared" si="4"/>
        <v>2000000</v>
      </c>
    </row>
    <row r="56" spans="2:10" ht="30" customHeight="1" x14ac:dyDescent="0.4">
      <c r="B56" s="68" t="s">
        <v>61</v>
      </c>
      <c r="C56" s="47" t="s">
        <v>44</v>
      </c>
      <c r="D56" s="49" t="s">
        <v>139</v>
      </c>
      <c r="E56" s="49" t="s">
        <v>63</v>
      </c>
      <c r="F56" s="50" t="s">
        <v>64</v>
      </c>
      <c r="G56" s="51">
        <v>1</v>
      </c>
      <c r="H56" s="52">
        <v>1250000</v>
      </c>
      <c r="I56" s="52">
        <v>0</v>
      </c>
      <c r="J56" s="69">
        <f t="shared" si="4"/>
        <v>1250000</v>
      </c>
    </row>
    <row r="57" spans="2:10" ht="30" customHeight="1" x14ac:dyDescent="0.4">
      <c r="B57" s="68" t="s">
        <v>95</v>
      </c>
      <c r="C57" s="47" t="s">
        <v>96</v>
      </c>
      <c r="D57" s="49" t="s">
        <v>140</v>
      </c>
      <c r="E57" s="49" t="s">
        <v>98</v>
      </c>
      <c r="F57" s="50" t="s">
        <v>99</v>
      </c>
      <c r="G57" s="51">
        <v>3</v>
      </c>
      <c r="H57" s="52">
        <v>800000</v>
      </c>
      <c r="I57" s="52">
        <v>0</v>
      </c>
      <c r="J57" s="69">
        <f t="shared" si="4"/>
        <v>2400000</v>
      </c>
    </row>
    <row r="58" spans="2:10" ht="30" customHeight="1" x14ac:dyDescent="0.4">
      <c r="B58" s="68" t="s">
        <v>100</v>
      </c>
      <c r="C58" s="47" t="s">
        <v>101</v>
      </c>
      <c r="D58" s="49" t="s">
        <v>141</v>
      </c>
      <c r="E58" s="49" t="s">
        <v>103</v>
      </c>
      <c r="F58" s="50" t="s">
        <v>104</v>
      </c>
      <c r="G58" s="51">
        <v>1</v>
      </c>
      <c r="H58" s="52">
        <v>5000000</v>
      </c>
      <c r="I58" s="53">
        <f>H58*G58*0.2</f>
        <v>1000000</v>
      </c>
      <c r="J58" s="69">
        <f>H58*G58*1.2</f>
        <v>6000000</v>
      </c>
    </row>
    <row r="59" spans="2:10" ht="30" customHeight="1" x14ac:dyDescent="0.4">
      <c r="B59" s="68" t="s">
        <v>105</v>
      </c>
      <c r="C59" s="47" t="s">
        <v>106</v>
      </c>
      <c r="D59" s="49" t="s">
        <v>142</v>
      </c>
      <c r="E59" s="49" t="s">
        <v>108</v>
      </c>
      <c r="F59" s="50" t="s">
        <v>109</v>
      </c>
      <c r="G59" s="51">
        <v>1</v>
      </c>
      <c r="H59" s="52">
        <v>5000000</v>
      </c>
      <c r="I59" s="53">
        <f>H59*G59*0.2</f>
        <v>1000000</v>
      </c>
      <c r="J59" s="69">
        <f>H59*G59*1.2</f>
        <v>6000000</v>
      </c>
    </row>
    <row r="60" spans="2:10" ht="30" customHeight="1" x14ac:dyDescent="0.4">
      <c r="B60" s="68" t="s">
        <v>65</v>
      </c>
      <c r="C60" s="47" t="s">
        <v>66</v>
      </c>
      <c r="D60" s="49" t="s">
        <v>143</v>
      </c>
      <c r="E60" s="49" t="s">
        <v>68</v>
      </c>
      <c r="F60" s="50" t="s">
        <v>69</v>
      </c>
      <c r="G60" s="51">
        <v>10</v>
      </c>
      <c r="H60" s="52">
        <v>100000</v>
      </c>
      <c r="I60" s="52">
        <v>0</v>
      </c>
      <c r="J60" s="69">
        <f>H60*G60</f>
        <v>1000000</v>
      </c>
    </row>
    <row r="61" spans="2:10" ht="30" customHeight="1" x14ac:dyDescent="0.4">
      <c r="B61" s="68" t="s">
        <v>70</v>
      </c>
      <c r="C61" s="47" t="s">
        <v>71</v>
      </c>
      <c r="D61" s="49" t="s">
        <v>144</v>
      </c>
      <c r="E61" s="49" t="s">
        <v>72</v>
      </c>
      <c r="F61" s="50" t="s">
        <v>72</v>
      </c>
      <c r="G61" s="51">
        <v>1</v>
      </c>
      <c r="H61" s="52">
        <v>1550000</v>
      </c>
      <c r="I61" s="52">
        <v>0</v>
      </c>
      <c r="J61" s="69">
        <f>H61*G61</f>
        <v>1550000</v>
      </c>
    </row>
    <row r="62" spans="2:10" ht="18" thickBot="1" x14ac:dyDescent="0.45">
      <c r="B62" s="70" t="s">
        <v>145</v>
      </c>
      <c r="C62" s="71"/>
      <c r="D62" s="71"/>
      <c r="E62" s="71"/>
      <c r="F62" s="72"/>
      <c r="G62" s="73">
        <f>SUM(G49:G61)</f>
        <v>110</v>
      </c>
      <c r="H62" s="74"/>
      <c r="I62" s="75">
        <f>SUM(I49:I61)</f>
        <v>2000000</v>
      </c>
      <c r="J62" s="76">
        <f>SUM(J49:J61)</f>
        <v>53950000</v>
      </c>
    </row>
    <row r="63" spans="2:10" ht="22.05" customHeight="1" x14ac:dyDescent="0.4">
      <c r="B63" s="77" t="s">
        <v>146</v>
      </c>
      <c r="C63" s="78"/>
      <c r="D63" s="78"/>
      <c r="E63" s="78"/>
      <c r="F63" s="78"/>
      <c r="G63" s="78"/>
      <c r="H63" s="78"/>
      <c r="I63" s="78"/>
      <c r="J63" s="79"/>
    </row>
    <row r="64" spans="2:10" ht="30" customHeight="1" x14ac:dyDescent="0.4">
      <c r="B64" s="68" t="s">
        <v>43</v>
      </c>
      <c r="C64" s="47" t="s">
        <v>44</v>
      </c>
      <c r="D64" s="49" t="s">
        <v>147</v>
      </c>
      <c r="E64" s="49" t="s">
        <v>46</v>
      </c>
      <c r="F64" s="50" t="s">
        <v>47</v>
      </c>
      <c r="G64" s="51">
        <v>41</v>
      </c>
      <c r="H64" s="52">
        <v>500000</v>
      </c>
      <c r="I64" s="52">
        <v>0</v>
      </c>
      <c r="J64" s="69">
        <f t="shared" ref="J64:J72" si="5">H64*G64</f>
        <v>20500000</v>
      </c>
    </row>
    <row r="65" spans="2:10" ht="30" customHeight="1" x14ac:dyDescent="0.4">
      <c r="B65" s="68" t="s">
        <v>48</v>
      </c>
      <c r="C65" s="47" t="s">
        <v>49</v>
      </c>
      <c r="D65" s="49" t="s">
        <v>148</v>
      </c>
      <c r="E65" s="49" t="s">
        <v>51</v>
      </c>
      <c r="F65" s="50" t="s">
        <v>52</v>
      </c>
      <c r="G65" s="51">
        <v>42</v>
      </c>
      <c r="H65" s="52">
        <v>250000</v>
      </c>
      <c r="I65" s="52">
        <v>0</v>
      </c>
      <c r="J65" s="69">
        <f t="shared" si="5"/>
        <v>10500000</v>
      </c>
    </row>
    <row r="66" spans="2:10" ht="30" customHeight="1" x14ac:dyDescent="0.4">
      <c r="B66" s="68" t="s">
        <v>77</v>
      </c>
      <c r="C66" s="47" t="s">
        <v>78</v>
      </c>
      <c r="D66" s="49" t="s">
        <v>149</v>
      </c>
      <c r="E66" s="49" t="s">
        <v>80</v>
      </c>
      <c r="F66" s="50" t="s">
        <v>81</v>
      </c>
      <c r="G66" s="51">
        <v>5</v>
      </c>
      <c r="H66" s="52">
        <v>800000</v>
      </c>
      <c r="I66" s="52">
        <v>0</v>
      </c>
      <c r="J66" s="69">
        <f t="shared" si="5"/>
        <v>4000000</v>
      </c>
    </row>
    <row r="67" spans="2:10" ht="30" customHeight="1" x14ac:dyDescent="0.4">
      <c r="B67" s="68" t="s">
        <v>53</v>
      </c>
      <c r="C67" s="47" t="s">
        <v>54</v>
      </c>
      <c r="D67" s="49" t="s">
        <v>150</v>
      </c>
      <c r="E67" s="49" t="s">
        <v>56</v>
      </c>
      <c r="F67" s="50" t="s">
        <v>47</v>
      </c>
      <c r="G67" s="51">
        <v>10</v>
      </c>
      <c r="H67" s="52">
        <v>100000</v>
      </c>
      <c r="I67" s="52">
        <v>0</v>
      </c>
      <c r="J67" s="69">
        <f t="shared" si="5"/>
        <v>1000000</v>
      </c>
    </row>
    <row r="68" spans="2:10" ht="30" customHeight="1" x14ac:dyDescent="0.4">
      <c r="B68" s="68" t="s">
        <v>83</v>
      </c>
      <c r="C68" s="47" t="s">
        <v>84</v>
      </c>
      <c r="D68" s="49" t="s">
        <v>151</v>
      </c>
      <c r="E68" s="49" t="s">
        <v>86</v>
      </c>
      <c r="F68" s="50" t="s">
        <v>87</v>
      </c>
      <c r="G68" s="51">
        <v>5</v>
      </c>
      <c r="H68" s="52">
        <v>500000</v>
      </c>
      <c r="I68" s="52">
        <v>0</v>
      </c>
      <c r="J68" s="69">
        <f t="shared" si="5"/>
        <v>2500000</v>
      </c>
    </row>
    <row r="69" spans="2:10" ht="30" customHeight="1" x14ac:dyDescent="0.4">
      <c r="B69" s="68" t="s">
        <v>88</v>
      </c>
      <c r="C69" s="47" t="s">
        <v>89</v>
      </c>
      <c r="D69" s="49" t="s">
        <v>152</v>
      </c>
      <c r="E69" s="49" t="s">
        <v>91</v>
      </c>
      <c r="F69" s="50" t="s">
        <v>92</v>
      </c>
      <c r="G69" s="51">
        <v>5</v>
      </c>
      <c r="H69" s="52">
        <v>300000</v>
      </c>
      <c r="I69" s="52">
        <v>0</v>
      </c>
      <c r="J69" s="69">
        <f t="shared" si="5"/>
        <v>1500000</v>
      </c>
    </row>
    <row r="70" spans="2:10" ht="30" customHeight="1" x14ac:dyDescent="0.4">
      <c r="B70" s="68" t="s">
        <v>57</v>
      </c>
      <c r="C70" s="47" t="s">
        <v>44</v>
      </c>
      <c r="D70" s="49" t="s">
        <v>153</v>
      </c>
      <c r="E70" s="49" t="s">
        <v>59</v>
      </c>
      <c r="F70" s="50" t="s">
        <v>60</v>
      </c>
      <c r="G70" s="51">
        <v>2</v>
      </c>
      <c r="H70" s="52">
        <v>1000000</v>
      </c>
      <c r="I70" s="52">
        <v>0</v>
      </c>
      <c r="J70" s="69">
        <f t="shared" si="5"/>
        <v>2000000</v>
      </c>
    </row>
    <row r="71" spans="2:10" ht="30" customHeight="1" x14ac:dyDescent="0.4">
      <c r="B71" s="68" t="s">
        <v>61</v>
      </c>
      <c r="C71" s="47" t="s">
        <v>44</v>
      </c>
      <c r="D71" s="49" t="s">
        <v>139</v>
      </c>
      <c r="E71" s="49" t="s">
        <v>63</v>
      </c>
      <c r="F71" s="50" t="s">
        <v>64</v>
      </c>
      <c r="G71" s="51">
        <v>1</v>
      </c>
      <c r="H71" s="52">
        <v>1250000</v>
      </c>
      <c r="I71" s="52">
        <v>0</v>
      </c>
      <c r="J71" s="69">
        <f t="shared" si="5"/>
        <v>1250000</v>
      </c>
    </row>
    <row r="72" spans="2:10" ht="30" customHeight="1" x14ac:dyDescent="0.4">
      <c r="B72" s="68" t="s">
        <v>95</v>
      </c>
      <c r="C72" s="47" t="s">
        <v>96</v>
      </c>
      <c r="D72" s="49" t="s">
        <v>154</v>
      </c>
      <c r="E72" s="49" t="s">
        <v>98</v>
      </c>
      <c r="F72" s="50" t="s">
        <v>99</v>
      </c>
      <c r="G72" s="51">
        <v>3</v>
      </c>
      <c r="H72" s="52">
        <v>800000</v>
      </c>
      <c r="I72" s="52">
        <v>0</v>
      </c>
      <c r="J72" s="69">
        <f t="shared" si="5"/>
        <v>2400000</v>
      </c>
    </row>
    <row r="73" spans="2:10" ht="30" customHeight="1" x14ac:dyDescent="0.4">
      <c r="B73" s="68" t="s">
        <v>100</v>
      </c>
      <c r="C73" s="47" t="s">
        <v>101</v>
      </c>
      <c r="D73" s="49" t="s">
        <v>155</v>
      </c>
      <c r="E73" s="49" t="s">
        <v>103</v>
      </c>
      <c r="F73" s="50" t="s">
        <v>104</v>
      </c>
      <c r="G73" s="51">
        <v>1</v>
      </c>
      <c r="H73" s="52">
        <v>5000000</v>
      </c>
      <c r="I73" s="53">
        <f>H73*G73*0.2</f>
        <v>1000000</v>
      </c>
      <c r="J73" s="69">
        <f>H73*G73*1.2</f>
        <v>6000000</v>
      </c>
    </row>
    <row r="74" spans="2:10" ht="30" customHeight="1" x14ac:dyDescent="0.4">
      <c r="B74" s="68" t="s">
        <v>65</v>
      </c>
      <c r="C74" s="47" t="s">
        <v>66</v>
      </c>
      <c r="D74" s="49" t="s">
        <v>156</v>
      </c>
      <c r="E74" s="49" t="s">
        <v>68</v>
      </c>
      <c r="F74" s="50" t="s">
        <v>69</v>
      </c>
      <c r="G74" s="51">
        <v>10</v>
      </c>
      <c r="H74" s="52">
        <v>100000</v>
      </c>
      <c r="I74" s="52">
        <v>0</v>
      </c>
      <c r="J74" s="69">
        <f>H74*G74</f>
        <v>1000000</v>
      </c>
    </row>
    <row r="75" spans="2:10" ht="30" customHeight="1" x14ac:dyDescent="0.4">
      <c r="B75" s="68" t="s">
        <v>70</v>
      </c>
      <c r="C75" s="47" t="s">
        <v>71</v>
      </c>
      <c r="D75" s="49" t="s">
        <v>157</v>
      </c>
      <c r="E75" s="49" t="s">
        <v>72</v>
      </c>
      <c r="F75" s="50" t="s">
        <v>72</v>
      </c>
      <c r="G75" s="51">
        <v>1</v>
      </c>
      <c r="H75" s="52">
        <v>1550000</v>
      </c>
      <c r="I75" s="52">
        <v>0</v>
      </c>
      <c r="J75" s="69">
        <f>H75*G75</f>
        <v>1550000</v>
      </c>
    </row>
    <row r="76" spans="2:10" ht="18" thickBot="1" x14ac:dyDescent="0.45">
      <c r="B76" s="70" t="s">
        <v>158</v>
      </c>
      <c r="C76" s="71"/>
      <c r="D76" s="71"/>
      <c r="E76" s="71"/>
      <c r="F76" s="72"/>
      <c r="G76" s="73">
        <f>SUM(G64:G75)</f>
        <v>126</v>
      </c>
      <c r="H76" s="74"/>
      <c r="I76" s="75">
        <f>SUM(I64:I75)</f>
        <v>1000000</v>
      </c>
      <c r="J76" s="76">
        <f>SUM(J64:J75)</f>
        <v>54200000</v>
      </c>
    </row>
    <row r="77" spans="2:10" ht="18" thickBot="1" x14ac:dyDescent="0.45">
      <c r="B77" s="81" t="s">
        <v>159</v>
      </c>
      <c r="C77" s="82"/>
      <c r="D77" s="82"/>
      <c r="E77" s="82"/>
      <c r="F77" s="83"/>
      <c r="G77" s="84"/>
      <c r="H77" s="84"/>
      <c r="I77" s="85">
        <f>I14+I29+I38+I47+I62+I76</f>
        <v>5000000</v>
      </c>
      <c r="J77" s="86">
        <f>J14+J29+J38+J47+J62+J76</f>
        <v>250000000</v>
      </c>
    </row>
    <row r="78" spans="2:10" x14ac:dyDescent="0.4">
      <c r="B78" s="59"/>
      <c r="C78" s="59"/>
      <c r="D78" s="60"/>
      <c r="E78" s="60"/>
      <c r="F78" s="60"/>
      <c r="G78" s="60"/>
      <c r="H78" s="87" t="s">
        <v>160</v>
      </c>
      <c r="I78" s="88"/>
      <c r="J78" s="80">
        <f>J77*0.1</f>
        <v>25000000</v>
      </c>
    </row>
    <row r="79" spans="2:10" x14ac:dyDescent="0.4">
      <c r="B79" s="59"/>
      <c r="C79" s="59"/>
      <c r="D79" s="60"/>
      <c r="E79" s="60"/>
      <c r="F79" s="60"/>
      <c r="G79" s="60"/>
      <c r="H79" s="89" t="s">
        <v>161</v>
      </c>
      <c r="I79" s="90"/>
      <c r="J79" s="2">
        <f>J77*1.1</f>
        <v>275000000</v>
      </c>
    </row>
    <row r="81" spans="2:10" x14ac:dyDescent="0.4">
      <c r="B81" s="12" t="s">
        <v>162</v>
      </c>
      <c r="C81" s="10"/>
      <c r="D81" s="10"/>
      <c r="E81" s="10"/>
      <c r="F81" s="10"/>
      <c r="G81" s="10"/>
      <c r="H81" s="10"/>
      <c r="I81" s="10"/>
      <c r="J81" s="11"/>
    </row>
    <row r="82" spans="2:10" ht="37.799999999999997" customHeight="1" x14ac:dyDescent="0.4">
      <c r="B82" s="57" t="s">
        <v>163</v>
      </c>
      <c r="C82" s="43" t="s">
        <v>164</v>
      </c>
      <c r="D82" s="44" t="s">
        <v>198</v>
      </c>
      <c r="E82" s="45"/>
      <c r="F82" s="46"/>
      <c r="G82" s="47" t="s">
        <v>165</v>
      </c>
      <c r="H82" s="47" t="s">
        <v>165</v>
      </c>
      <c r="I82" s="47" t="s">
        <v>165</v>
      </c>
      <c r="J82" s="48">
        <v>0</v>
      </c>
    </row>
    <row r="83" spans="2:10" ht="37.799999999999997" customHeight="1" x14ac:dyDescent="0.4">
      <c r="B83" s="57" t="s">
        <v>166</v>
      </c>
      <c r="C83" s="43" t="s">
        <v>164</v>
      </c>
      <c r="D83" s="44" t="s">
        <v>200</v>
      </c>
      <c r="E83" s="45"/>
      <c r="F83" s="46"/>
      <c r="G83" s="47" t="s">
        <v>165</v>
      </c>
      <c r="H83" s="47" t="s">
        <v>165</v>
      </c>
      <c r="I83" s="47" t="s">
        <v>165</v>
      </c>
      <c r="J83" s="48">
        <v>0</v>
      </c>
    </row>
    <row r="84" spans="2:10" ht="37.799999999999997" customHeight="1" x14ac:dyDescent="0.4">
      <c r="B84" s="57" t="s">
        <v>167</v>
      </c>
      <c r="C84" s="43" t="s">
        <v>164</v>
      </c>
      <c r="D84" s="44" t="s">
        <v>168</v>
      </c>
      <c r="E84" s="45"/>
      <c r="F84" s="46"/>
      <c r="G84" s="47" t="s">
        <v>165</v>
      </c>
      <c r="H84" s="47" t="s">
        <v>165</v>
      </c>
      <c r="I84" s="47" t="s">
        <v>165</v>
      </c>
      <c r="J84" s="48">
        <v>0</v>
      </c>
    </row>
    <row r="85" spans="2:10" ht="37.799999999999997" customHeight="1" x14ac:dyDescent="0.4">
      <c r="B85" s="57" t="s">
        <v>169</v>
      </c>
      <c r="C85" s="43" t="s">
        <v>164</v>
      </c>
      <c r="D85" s="44" t="s">
        <v>170</v>
      </c>
      <c r="E85" s="45"/>
      <c r="F85" s="46"/>
      <c r="G85" s="47" t="s">
        <v>165</v>
      </c>
      <c r="H85" s="47" t="s">
        <v>165</v>
      </c>
      <c r="I85" s="47" t="s">
        <v>165</v>
      </c>
      <c r="J85" s="48">
        <v>0</v>
      </c>
    </row>
    <row r="86" spans="2:10" ht="37.799999999999997" customHeight="1" x14ac:dyDescent="0.4">
      <c r="B86" s="57" t="s">
        <v>171</v>
      </c>
      <c r="C86" s="43" t="s">
        <v>164</v>
      </c>
      <c r="D86" s="44" t="s">
        <v>172</v>
      </c>
      <c r="E86" s="45"/>
      <c r="F86" s="46"/>
      <c r="G86" s="47" t="s">
        <v>165</v>
      </c>
      <c r="H86" s="47" t="s">
        <v>165</v>
      </c>
      <c r="I86" s="47" t="s">
        <v>165</v>
      </c>
      <c r="J86" s="48">
        <v>0</v>
      </c>
    </row>
    <row r="87" spans="2:10" ht="37.799999999999997" customHeight="1" x14ac:dyDescent="0.4">
      <c r="B87" s="57" t="s">
        <v>173</v>
      </c>
      <c r="C87" s="43" t="s">
        <v>164</v>
      </c>
      <c r="D87" s="44" t="s">
        <v>202</v>
      </c>
      <c r="E87" s="45"/>
      <c r="F87" s="46"/>
      <c r="G87" s="47" t="s">
        <v>165</v>
      </c>
      <c r="H87" s="47" t="s">
        <v>165</v>
      </c>
      <c r="I87" s="47" t="s">
        <v>165</v>
      </c>
      <c r="J87" s="48">
        <v>0</v>
      </c>
    </row>
    <row r="88" spans="2:10" ht="37.799999999999997" customHeight="1" x14ac:dyDescent="0.4">
      <c r="B88" s="57" t="s">
        <v>174</v>
      </c>
      <c r="C88" s="43" t="s">
        <v>164</v>
      </c>
      <c r="D88" s="44" t="s">
        <v>201</v>
      </c>
      <c r="E88" s="45"/>
      <c r="F88" s="46"/>
      <c r="G88" s="47" t="s">
        <v>165</v>
      </c>
      <c r="H88" s="47" t="s">
        <v>165</v>
      </c>
      <c r="I88" s="47" t="s">
        <v>165</v>
      </c>
      <c r="J88" s="48">
        <v>0</v>
      </c>
    </row>
  </sheetData>
  <mergeCells count="23">
    <mergeCell ref="D88:F88"/>
    <mergeCell ref="B38:F38"/>
    <mergeCell ref="D84:F84"/>
    <mergeCell ref="B63:J63"/>
    <mergeCell ref="D87:F87"/>
    <mergeCell ref="B81:J81"/>
    <mergeCell ref="D83:F83"/>
    <mergeCell ref="B76:F76"/>
    <mergeCell ref="D85:F85"/>
    <mergeCell ref="B39:J39"/>
    <mergeCell ref="B48:J48"/>
    <mergeCell ref="H78:I78"/>
    <mergeCell ref="H79:I79"/>
    <mergeCell ref="B6:J6"/>
    <mergeCell ref="B30:J30"/>
    <mergeCell ref="B15:J15"/>
    <mergeCell ref="D82:F82"/>
    <mergeCell ref="B29:F29"/>
    <mergeCell ref="B47:F47"/>
    <mergeCell ref="B62:F62"/>
    <mergeCell ref="D86:F86"/>
    <mergeCell ref="B77:F77"/>
    <mergeCell ref="B14:F14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activeCell="D25" sqref="D25"/>
    </sheetView>
  </sheetViews>
  <sheetFormatPr defaultRowHeight="17.399999999999999" x14ac:dyDescent="0.4"/>
  <cols>
    <col min="1" max="1" width="37" bestFit="1" customWidth="1"/>
    <col min="2" max="2" width="13" customWidth="1"/>
    <col min="3" max="3" width="8.5" customWidth="1"/>
    <col min="4" max="4" width="11" customWidth="1"/>
    <col min="5" max="5" width="9.5" customWidth="1"/>
    <col min="6" max="6" width="8.5" customWidth="1"/>
    <col min="7" max="8" width="11" customWidth="1"/>
    <col min="9" max="9" width="9" customWidth="1"/>
    <col min="10" max="10" width="15" customWidth="1"/>
  </cols>
  <sheetData>
    <row r="1" spans="1:10" ht="21" customHeight="1" x14ac:dyDescent="0.4">
      <c r="A1" s="3" t="s">
        <v>175</v>
      </c>
    </row>
    <row r="2" spans="1:10" x14ac:dyDescent="0.4">
      <c r="A2" s="1"/>
    </row>
    <row r="3" spans="1:10" ht="30" customHeight="1" x14ac:dyDescent="0.4">
      <c r="A3" s="91" t="s">
        <v>33</v>
      </c>
      <c r="B3" s="91" t="s">
        <v>39</v>
      </c>
      <c r="C3" s="91" t="s">
        <v>176</v>
      </c>
      <c r="D3" s="91" t="s">
        <v>177</v>
      </c>
      <c r="E3" s="91" t="s">
        <v>178</v>
      </c>
      <c r="F3" s="91" t="s">
        <v>179</v>
      </c>
      <c r="G3" s="91" t="s">
        <v>180</v>
      </c>
      <c r="H3" s="91" t="s">
        <v>181</v>
      </c>
      <c r="I3" s="92" t="s">
        <v>182</v>
      </c>
      <c r="J3" s="93" t="s">
        <v>183</v>
      </c>
    </row>
    <row r="4" spans="1:10" ht="19.05" customHeight="1" x14ac:dyDescent="0.4">
      <c r="A4" s="105" t="s">
        <v>184</v>
      </c>
      <c r="B4" s="103"/>
      <c r="C4" s="103"/>
      <c r="D4" s="103"/>
      <c r="E4" s="103"/>
      <c r="F4" s="103"/>
      <c r="G4" s="103"/>
      <c r="H4" s="103"/>
      <c r="I4" s="103"/>
      <c r="J4" s="104"/>
    </row>
    <row r="5" spans="1:10" ht="19.05" customHeight="1" x14ac:dyDescent="0.4">
      <c r="A5" s="96" t="s">
        <v>43</v>
      </c>
      <c r="B5" s="95">
        <v>500000</v>
      </c>
      <c r="C5" s="96">
        <v>24</v>
      </c>
      <c r="D5" s="96">
        <v>47</v>
      </c>
      <c r="E5" s="96">
        <v>28</v>
      </c>
      <c r="F5" s="96">
        <v>24</v>
      </c>
      <c r="G5" s="96">
        <v>33</v>
      </c>
      <c r="H5" s="96">
        <v>41</v>
      </c>
      <c r="I5" s="97">
        <f t="shared" ref="I5:I10" si="0">SUM(C5:H5)</f>
        <v>197</v>
      </c>
      <c r="J5" s="98">
        <f t="shared" ref="J5:J10" si="1">I5*B5</f>
        <v>98500000</v>
      </c>
    </row>
    <row r="6" spans="1:10" ht="19.05" customHeight="1" x14ac:dyDescent="0.4">
      <c r="A6" s="96" t="s">
        <v>48</v>
      </c>
      <c r="B6" s="95">
        <v>250000</v>
      </c>
      <c r="C6" s="96">
        <v>24</v>
      </c>
      <c r="D6" s="96">
        <v>47</v>
      </c>
      <c r="E6" s="96">
        <v>28</v>
      </c>
      <c r="F6" s="96">
        <v>24</v>
      </c>
      <c r="G6" s="96">
        <v>33</v>
      </c>
      <c r="H6" s="96">
        <v>42</v>
      </c>
      <c r="I6" s="97">
        <f t="shared" si="0"/>
        <v>198</v>
      </c>
      <c r="J6" s="98">
        <f t="shared" si="1"/>
        <v>49500000</v>
      </c>
    </row>
    <row r="7" spans="1:10" ht="19.05" customHeight="1" x14ac:dyDescent="0.4">
      <c r="A7" s="96" t="s">
        <v>77</v>
      </c>
      <c r="B7" s="95">
        <v>800000</v>
      </c>
      <c r="C7" s="96" t="s">
        <v>165</v>
      </c>
      <c r="D7" s="96">
        <v>5</v>
      </c>
      <c r="E7" s="96" t="s">
        <v>165</v>
      </c>
      <c r="F7" s="96" t="s">
        <v>165</v>
      </c>
      <c r="G7" s="96">
        <v>5</v>
      </c>
      <c r="H7" s="96">
        <v>5</v>
      </c>
      <c r="I7" s="97">
        <f t="shared" si="0"/>
        <v>15</v>
      </c>
      <c r="J7" s="98">
        <f t="shared" si="1"/>
        <v>12000000</v>
      </c>
    </row>
    <row r="8" spans="1:10" ht="19.05" customHeight="1" x14ac:dyDescent="0.4">
      <c r="A8" s="96" t="s">
        <v>53</v>
      </c>
      <c r="B8" s="95">
        <v>100000</v>
      </c>
      <c r="C8" s="96">
        <v>10</v>
      </c>
      <c r="D8" s="96">
        <v>10</v>
      </c>
      <c r="E8" s="96">
        <v>10</v>
      </c>
      <c r="F8" s="96">
        <v>10</v>
      </c>
      <c r="G8" s="96">
        <v>10</v>
      </c>
      <c r="H8" s="96">
        <v>10</v>
      </c>
      <c r="I8" s="97">
        <f t="shared" si="0"/>
        <v>60</v>
      </c>
      <c r="J8" s="98">
        <f t="shared" si="1"/>
        <v>6000000</v>
      </c>
    </row>
    <row r="9" spans="1:10" ht="19.05" customHeight="1" x14ac:dyDescent="0.4">
      <c r="A9" s="96" t="s">
        <v>83</v>
      </c>
      <c r="B9" s="95">
        <v>500000</v>
      </c>
      <c r="C9" s="96" t="s">
        <v>165</v>
      </c>
      <c r="D9" s="96">
        <v>5</v>
      </c>
      <c r="E9" s="96" t="s">
        <v>165</v>
      </c>
      <c r="F9" s="96" t="s">
        <v>165</v>
      </c>
      <c r="G9" s="96">
        <v>5</v>
      </c>
      <c r="H9" s="96">
        <v>5</v>
      </c>
      <c r="I9" s="97">
        <f t="shared" si="0"/>
        <v>15</v>
      </c>
      <c r="J9" s="98">
        <f t="shared" si="1"/>
        <v>7500000</v>
      </c>
    </row>
    <row r="10" spans="1:10" ht="19.05" customHeight="1" x14ac:dyDescent="0.4">
      <c r="A10" s="96" t="s">
        <v>88</v>
      </c>
      <c r="B10" s="95">
        <v>300000</v>
      </c>
      <c r="C10" s="96" t="s">
        <v>165</v>
      </c>
      <c r="D10" s="96">
        <v>5</v>
      </c>
      <c r="E10" s="96" t="s">
        <v>165</v>
      </c>
      <c r="F10" s="96" t="s">
        <v>165</v>
      </c>
      <c r="G10" s="96">
        <v>5</v>
      </c>
      <c r="H10" s="96">
        <v>5</v>
      </c>
      <c r="I10" s="97">
        <f t="shared" si="0"/>
        <v>15</v>
      </c>
      <c r="J10" s="98">
        <f t="shared" si="1"/>
        <v>4500000</v>
      </c>
    </row>
    <row r="11" spans="1:10" ht="19.05" customHeight="1" x14ac:dyDescent="0.4">
      <c r="A11" s="105" t="s">
        <v>185</v>
      </c>
      <c r="B11" s="103"/>
      <c r="C11" s="103"/>
      <c r="D11" s="103"/>
      <c r="E11" s="103"/>
      <c r="F11" s="103"/>
      <c r="G11" s="103"/>
      <c r="H11" s="103"/>
      <c r="I11" s="103"/>
      <c r="J11" s="104"/>
    </row>
    <row r="12" spans="1:10" ht="19.05" customHeight="1" x14ac:dyDescent="0.4">
      <c r="A12" s="96" t="s">
        <v>186</v>
      </c>
      <c r="B12" s="95">
        <v>1000000</v>
      </c>
      <c r="C12" s="96">
        <v>2</v>
      </c>
      <c r="D12" s="96">
        <v>2</v>
      </c>
      <c r="E12" s="96">
        <v>2</v>
      </c>
      <c r="F12" s="96">
        <v>2</v>
      </c>
      <c r="G12" s="96">
        <v>2</v>
      </c>
      <c r="H12" s="96">
        <v>2</v>
      </c>
      <c r="I12" s="97">
        <f>SUM(C12:H12)</f>
        <v>12</v>
      </c>
      <c r="J12" s="98">
        <f>I12*B12</f>
        <v>12000000</v>
      </c>
    </row>
    <row r="13" spans="1:10" ht="19.05" customHeight="1" x14ac:dyDescent="0.4">
      <c r="A13" s="96" t="s">
        <v>187</v>
      </c>
      <c r="B13" s="95">
        <v>1250000</v>
      </c>
      <c r="C13" s="96">
        <v>1</v>
      </c>
      <c r="D13" s="96">
        <v>1</v>
      </c>
      <c r="E13" s="96">
        <v>1</v>
      </c>
      <c r="F13" s="96">
        <v>1</v>
      </c>
      <c r="G13" s="96">
        <v>1</v>
      </c>
      <c r="H13" s="96">
        <v>1</v>
      </c>
      <c r="I13" s="97">
        <f>SUM(C13:H13)</f>
        <v>6</v>
      </c>
      <c r="J13" s="98">
        <f>I13*B13</f>
        <v>7500000</v>
      </c>
    </row>
    <row r="14" spans="1:10" ht="19.05" customHeight="1" x14ac:dyDescent="0.4">
      <c r="A14" s="96" t="s">
        <v>70</v>
      </c>
      <c r="B14" s="95">
        <v>1550000</v>
      </c>
      <c r="C14" s="96">
        <v>1</v>
      </c>
      <c r="D14" s="96">
        <v>1</v>
      </c>
      <c r="E14" s="96">
        <v>1</v>
      </c>
      <c r="F14" s="96">
        <v>1</v>
      </c>
      <c r="G14" s="96">
        <v>1</v>
      </c>
      <c r="H14" s="96">
        <v>1</v>
      </c>
      <c r="I14" s="97">
        <f>SUM(C14:H14)</f>
        <v>6</v>
      </c>
      <c r="J14" s="98">
        <f>I14*B14</f>
        <v>9300000</v>
      </c>
    </row>
    <row r="15" spans="1:10" ht="19.05" customHeight="1" x14ac:dyDescent="0.4">
      <c r="A15" s="105" t="s">
        <v>188</v>
      </c>
      <c r="B15" s="103"/>
      <c r="C15" s="103"/>
      <c r="D15" s="103"/>
      <c r="E15" s="103"/>
      <c r="F15" s="103"/>
      <c r="G15" s="103"/>
      <c r="H15" s="103"/>
      <c r="I15" s="103"/>
      <c r="J15" s="104"/>
    </row>
    <row r="16" spans="1:10" ht="19.05" customHeight="1" x14ac:dyDescent="0.4">
      <c r="A16" s="96" t="s">
        <v>95</v>
      </c>
      <c r="B16" s="95">
        <v>800000</v>
      </c>
      <c r="C16" s="96" t="s">
        <v>165</v>
      </c>
      <c r="D16" s="96">
        <v>3</v>
      </c>
      <c r="E16" s="96" t="s">
        <v>165</v>
      </c>
      <c r="F16" s="96" t="s">
        <v>165</v>
      </c>
      <c r="G16" s="96">
        <v>3</v>
      </c>
      <c r="H16" s="96">
        <v>3</v>
      </c>
      <c r="I16" s="97">
        <f>SUM(C16:H16)</f>
        <v>9</v>
      </c>
      <c r="J16" s="98">
        <f>I16*B16</f>
        <v>7200000</v>
      </c>
    </row>
    <row r="17" spans="1:10" ht="19.05" customHeight="1" x14ac:dyDescent="0.4">
      <c r="A17" s="96" t="s">
        <v>204</v>
      </c>
      <c r="B17" s="95">
        <v>5000000</v>
      </c>
      <c r="C17" s="96" t="s">
        <v>165</v>
      </c>
      <c r="D17" s="96">
        <v>1</v>
      </c>
      <c r="E17" s="96" t="s">
        <v>165</v>
      </c>
      <c r="F17" s="96" t="s">
        <v>165</v>
      </c>
      <c r="G17" s="96">
        <v>1</v>
      </c>
      <c r="H17" s="96">
        <v>1</v>
      </c>
      <c r="I17" s="97">
        <f>SUM(C17:H17)</f>
        <v>3</v>
      </c>
      <c r="J17" s="98">
        <f>I17*B17*1.2</f>
        <v>18000000</v>
      </c>
    </row>
    <row r="18" spans="1:10" ht="19.05" customHeight="1" x14ac:dyDescent="0.4">
      <c r="A18" s="96" t="s">
        <v>203</v>
      </c>
      <c r="B18" s="95">
        <v>5000000</v>
      </c>
      <c r="C18" s="96" t="s">
        <v>165</v>
      </c>
      <c r="D18" s="96">
        <v>1</v>
      </c>
      <c r="E18" s="96" t="s">
        <v>165</v>
      </c>
      <c r="F18" s="96" t="s">
        <v>165</v>
      </c>
      <c r="G18" s="96">
        <v>1</v>
      </c>
      <c r="H18" s="96" t="s">
        <v>165</v>
      </c>
      <c r="I18" s="97">
        <f>SUM(C18:H18)</f>
        <v>2</v>
      </c>
      <c r="J18" s="98">
        <f>I18*B18*1.2</f>
        <v>12000000</v>
      </c>
    </row>
    <row r="19" spans="1:10" ht="19.05" customHeight="1" x14ac:dyDescent="0.4">
      <c r="A19" s="96" t="s">
        <v>205</v>
      </c>
      <c r="B19" s="95">
        <v>100000</v>
      </c>
      <c r="C19" s="96">
        <v>10</v>
      </c>
      <c r="D19" s="96">
        <v>20</v>
      </c>
      <c r="E19" s="96">
        <v>30</v>
      </c>
      <c r="F19" s="96">
        <v>40</v>
      </c>
      <c r="G19" s="96">
        <v>50</v>
      </c>
      <c r="H19" s="96">
        <v>60</v>
      </c>
      <c r="I19" s="97" t="s">
        <v>189</v>
      </c>
      <c r="J19" s="98">
        <f>60*B19</f>
        <v>6000000</v>
      </c>
    </row>
    <row r="20" spans="1:10" x14ac:dyDescent="0.4">
      <c r="A20" s="102"/>
    </row>
    <row r="21" spans="1:10" x14ac:dyDescent="0.4">
      <c r="A21" s="99" t="s">
        <v>190</v>
      </c>
      <c r="B21" s="94"/>
      <c r="C21" s="99">
        <f t="shared" ref="C21:H21" si="2">SUM(C5:C10)</f>
        <v>58</v>
      </c>
      <c r="D21" s="99">
        <f t="shared" si="2"/>
        <v>119</v>
      </c>
      <c r="E21" s="99">
        <f t="shared" si="2"/>
        <v>66</v>
      </c>
      <c r="F21" s="99">
        <f t="shared" si="2"/>
        <v>58</v>
      </c>
      <c r="G21" s="99">
        <f t="shared" si="2"/>
        <v>91</v>
      </c>
      <c r="H21" s="99">
        <f t="shared" si="2"/>
        <v>108</v>
      </c>
      <c r="I21" s="100">
        <f>SUM(C21:H21)</f>
        <v>500</v>
      </c>
      <c r="J21" s="94"/>
    </row>
    <row r="22" spans="1:10" x14ac:dyDescent="0.4">
      <c r="A22" s="101" t="s">
        <v>191</v>
      </c>
      <c r="B22" s="101"/>
      <c r="C22" s="101"/>
      <c r="D22" s="101"/>
      <c r="E22" s="101"/>
      <c r="F22" s="101"/>
      <c r="G22" s="101"/>
      <c r="H22" s="101"/>
      <c r="I22" s="101"/>
      <c r="J22" s="100">
        <f>SUM(J5:J19)</f>
        <v>250000000</v>
      </c>
    </row>
  </sheetData>
  <mergeCells count="1">
    <mergeCell ref="A22:I2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견적제안</vt:lpstr>
      <vt:lpstr>견적상세</vt:lpstr>
      <vt:lpstr>월별 액션플랜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한솔</cp:lastModifiedBy>
  <dcterms:created xsi:type="dcterms:W3CDTF">2026-06-18T06:55:54Z</dcterms:created>
  <dcterms:modified xsi:type="dcterms:W3CDTF">2026-06-18T08:00:07Z</dcterms:modified>
</cp:coreProperties>
</file>