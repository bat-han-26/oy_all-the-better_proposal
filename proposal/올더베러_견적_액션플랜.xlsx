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  <sheet xmlns:r="http://schemas.openxmlformats.org/officeDocument/2006/relationships" name="월별 액션플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Pretendard"/>
      <b val="1"/>
      <color rgb="00141412"/>
      <sz val="16"/>
    </font>
    <font>
      <name val="Pretendard"/>
      <color rgb="00868680"/>
      <sz val="10"/>
    </font>
    <font>
      <name val="Pretendard"/>
      <b val="1"/>
      <color rgb="00141412"/>
      <sz val="10"/>
    </font>
    <font>
      <name val="Pretendard"/>
      <b val="1"/>
      <color rgb="000E5A30"/>
      <sz val="10"/>
    </font>
    <font>
      <name val="Pretendard"/>
      <b val="1"/>
      <color rgb="00FFFFFF"/>
      <sz val="10"/>
    </font>
    <font>
      <name val="Pretendard"/>
      <color rgb="00141412"/>
      <sz val="10"/>
    </font>
    <font>
      <name val="Pretendard"/>
      <color rgb="00868680"/>
      <sz val="9"/>
    </font>
    <font>
      <name val="Pretendard"/>
      <color rgb="000E5A30"/>
      <sz val="9"/>
    </font>
    <font>
      <name val="Pretendard"/>
      <color rgb="000E5A30"/>
      <sz val="10"/>
    </font>
    <font>
      <name val="Pretendard"/>
      <b val="1"/>
      <color rgb="00141412"/>
      <sz val="15"/>
    </font>
    <font>
      <name val="Pretendard"/>
      <color rgb="00141412"/>
      <sz val="9"/>
    </font>
  </fonts>
  <fills count="6">
    <fill>
      <patternFill/>
    </fill>
    <fill>
      <patternFill patternType="gray125"/>
    </fill>
    <fill>
      <patternFill patternType="solid">
        <fgColor rgb="003D2B1B"/>
      </patternFill>
    </fill>
    <fill>
      <patternFill patternType="solid">
        <fgColor rgb="00F3F2E7"/>
      </patternFill>
    </fill>
    <fill>
      <patternFill patternType="solid">
        <fgColor rgb="00EFEFEC"/>
      </patternFill>
    </fill>
    <fill>
      <patternFill patternType="solid">
        <fgColor rgb="00FBFBE0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3" fontId="5" fillId="2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1" customWidth="1" min="3" max="3"/>
    <col width="14" customWidth="1" min="4" max="4"/>
    <col width="16" customWidth="1" min="5" max="5"/>
    <col width="34" customWidth="1" min="6" max="6"/>
  </cols>
  <sheetData>
    <row r="1">
      <c r="A1" s="1" t="inlineStr">
        <is>
          <t>올더베러 캠페인 견적서 (Quotation)</t>
        </is>
      </c>
    </row>
    <row r="2">
      <c r="A2" s="2" t="inlineStr">
        <is>
          <t>올리브영 PB 올더베러 브랜드 빌딩 · 단위 원(VAT 별도) · 견적방식: 전체 투입비 대비 수수료율(마크업)</t>
        </is>
      </c>
      <c r="E2" s="3" t="inlineStr">
        <is>
          <t>목표 투입비</t>
        </is>
      </c>
      <c r="F2" s="4" t="n">
        <v>250000000</v>
      </c>
    </row>
    <row r="3">
      <c r="E3" s="3" t="inlineStr">
        <is>
          <t>마크업율(15~17.5%)</t>
        </is>
      </c>
      <c r="F3" s="5" t="n">
        <v>0.15</v>
      </c>
    </row>
    <row r="5" ht="21" customHeight="1">
      <c r="A5" s="6" t="inlineStr">
        <is>
          <t>구분</t>
        </is>
      </c>
      <c r="B5" s="6" t="inlineStr">
        <is>
          <t>세부 항목</t>
        </is>
      </c>
      <c r="C5" s="7" t="inlineStr">
        <is>
          <t>수량</t>
        </is>
      </c>
      <c r="D5" s="7" t="inlineStr">
        <is>
          <t>단가</t>
        </is>
      </c>
      <c r="E5" s="7" t="inlineStr">
        <is>
          <t>금액</t>
        </is>
      </c>
      <c r="F5" s="7" t="inlineStr">
        <is>
          <t>비고</t>
        </is>
      </c>
    </row>
    <row r="6" ht="21" customHeight="1">
      <c r="A6" s="8" t="inlineStr">
        <is>
          <t>■ 크리에이터 시딩</t>
        </is>
      </c>
      <c r="B6" s="9" t="n"/>
      <c r="C6" s="9" t="n"/>
      <c r="D6" s="9" t="n"/>
      <c r="E6" s="9" t="n"/>
      <c r="F6" s="9" t="n"/>
    </row>
    <row r="7" ht="21" customHeight="1">
      <c r="A7" s="10" t="inlineStr">
        <is>
          <t>시딩</t>
        </is>
      </c>
      <c r="B7" s="10" t="inlineStr">
        <is>
          <t>매크로 (인스타·틱톡)</t>
        </is>
      </c>
      <c r="C7" s="11" t="n">
        <v>15</v>
      </c>
      <c r="D7" s="12" t="n">
        <v>800000</v>
      </c>
      <c r="E7" s="13">
        <f>C7*D7</f>
        <v/>
      </c>
      <c r="F7" s="14" t="inlineStr">
        <is>
          <t>인스타·틱톡 동일 견적</t>
        </is>
      </c>
    </row>
    <row r="8" ht="21" customHeight="1">
      <c r="B8" s="10" t="inlineStr">
        <is>
          <t>마이크로 (UGC 기준·인스타·틱톡)</t>
        </is>
      </c>
      <c r="C8" s="11" t="n">
        <v>150</v>
      </c>
      <c r="D8" s="12" t="n">
        <v>500000</v>
      </c>
      <c r="E8" s="13">
        <f>C8*D8</f>
        <v/>
      </c>
      <c r="F8" s="14" t="inlineStr">
        <is>
          <t>UGC=인플루언서 시딩 기준 단가</t>
        </is>
      </c>
    </row>
    <row r="9" ht="21" customHeight="1">
      <c r="B9" s="10" t="inlineStr">
        <is>
          <t>나노</t>
        </is>
      </c>
      <c r="C9" s="11" t="n">
        <v>225</v>
      </c>
      <c r="D9" s="12" t="n">
        <v>250000</v>
      </c>
      <c r="E9" s="13">
        <f>C9*D9</f>
        <v/>
      </c>
    </row>
    <row r="10" ht="21" customHeight="1">
      <c r="B10" s="10" t="inlineStr">
        <is>
          <t>KOL 무가시딩</t>
        </is>
      </c>
      <c r="C10" s="11" t="n">
        <v>60</v>
      </c>
      <c r="D10" s="12" t="n">
        <v>100000</v>
      </c>
      <c r="E10" s="13">
        <f>C10*D10</f>
        <v/>
      </c>
      <c r="F10" s="14" t="inlineStr">
        <is>
          <t>제품 제공형</t>
        </is>
      </c>
    </row>
    <row r="11" ht="21" customHeight="1">
      <c r="B11" s="10" t="inlineStr">
        <is>
          <t>X (트위터) 시딩</t>
        </is>
      </c>
      <c r="C11" s="11" t="n">
        <v>15</v>
      </c>
      <c r="D11" s="12" t="n">
        <v>500000</v>
      </c>
      <c r="E11" s="13">
        <f>C11*D11</f>
        <v/>
      </c>
    </row>
    <row r="12" ht="21" customHeight="1">
      <c r="B12" s="10" t="inlineStr">
        <is>
          <t>네이버 블로그</t>
        </is>
      </c>
      <c r="C12" s="11" t="n">
        <v>15</v>
      </c>
      <c r="D12" s="12" t="n">
        <v>300000</v>
      </c>
      <c r="E12" s="13">
        <f>C12*D12</f>
        <v/>
      </c>
      <c r="F12" s="14" t="inlineStr">
        <is>
          <t>시딩 하단으로 위치 이동 · 단가 30만</t>
        </is>
      </c>
    </row>
    <row r="13" ht="21" customHeight="1">
      <c r="A13" s="8" t="inlineStr">
        <is>
          <t>■ 콘텐츠 제작</t>
        </is>
      </c>
      <c r="B13" s="9" t="n"/>
      <c r="C13" s="9" t="n"/>
      <c r="D13" s="9" t="n"/>
      <c r="E13" s="9" t="n"/>
      <c r="F13" s="9" t="n"/>
    </row>
    <row r="14" ht="21" customHeight="1">
      <c r="B14" s="10" t="inlineStr">
        <is>
          <t>EGC 콘텐츠 (UGC 마이크로 ×2)</t>
        </is>
      </c>
      <c r="C14" s="11" t="n">
        <v>12</v>
      </c>
      <c r="D14" s="12" t="n">
        <v>1000000</v>
      </c>
      <c r="E14" s="13">
        <f>C14*D14</f>
        <v/>
      </c>
      <c r="F14" s="14" t="inlineStr">
        <is>
          <t>월 2개 × 6개월</t>
        </is>
      </c>
    </row>
    <row r="15" ht="21" customHeight="1">
      <c r="B15" s="10" t="inlineStr">
        <is>
          <t>Half EGC 콘텐츠 (UGC 마이크로 ×2.5)</t>
        </is>
      </c>
      <c r="C15" s="11" t="n">
        <v>6</v>
      </c>
      <c r="D15" s="12" t="n">
        <v>1250000</v>
      </c>
      <c r="E15" s="13">
        <f>C15*D15</f>
        <v/>
      </c>
      <c r="F15" s="14" t="inlineStr">
        <is>
          <t>월 1개 × 6개월</t>
        </is>
      </c>
    </row>
    <row r="16" ht="30" customHeight="1">
      <c r="B16" s="10" t="inlineStr">
        <is>
          <t>KV·디자인·영상 제작</t>
        </is>
      </c>
      <c r="C16" s="11" t="inlineStr">
        <is>
          <t>1식</t>
        </is>
      </c>
      <c r="D16" s="12">
        <f>E16</f>
        <v/>
      </c>
      <c r="E16" s="13">
        <f>$F$2-(SUM(E7:E12)+E14+E15+SUM(E19:E22))</f>
        <v/>
      </c>
      <c r="F16" s="14" t="inlineStr">
        <is>
          <t>※ 목표 투입비(2.5억) 자동 정산(잔액). 추가비용은 제작비에서 흡수</t>
        </is>
      </c>
    </row>
    <row r="17" ht="21" customHeight="1"/>
    <row r="18" ht="21" customHeight="1">
      <c r="A18" s="8" t="inlineStr">
        <is>
          <t>■ 바이럴 · 전환</t>
        </is>
      </c>
      <c r="B18" s="9" t="n"/>
      <c r="C18" s="9" t="n"/>
      <c r="D18" s="9" t="n"/>
      <c r="E18" s="9" t="n"/>
      <c r="F18" s="9" t="n"/>
    </row>
    <row r="19" ht="21" customHeight="1">
      <c r="B19" s="10" t="inlineStr">
        <is>
          <t>파워페이지 콘텐츠 바이럴</t>
        </is>
      </c>
      <c r="C19" s="11" t="n">
        <v>9</v>
      </c>
      <c r="D19" s="12" t="n">
        <v>800000</v>
      </c>
      <c r="E19" s="13">
        <f>C19*D19</f>
        <v/>
      </c>
    </row>
    <row r="20" ht="21" customHeight="1">
      <c r="B20" s="10" t="inlineStr">
        <is>
          <t>커뮤니티 체험단 (탑)</t>
        </is>
      </c>
      <c r="C20" s="11" t="n">
        <v>3</v>
      </c>
      <c r="D20" s="12" t="n">
        <v>5000000</v>
      </c>
      <c r="E20" s="13">
        <f>C20*D20</f>
        <v/>
      </c>
    </row>
    <row r="21" ht="21" customHeight="1">
      <c r="B21" s="10" t="inlineStr">
        <is>
          <t>챌린저스 (랭킹 견인)</t>
        </is>
      </c>
      <c r="C21" s="11" t="n">
        <v>2</v>
      </c>
      <c r="D21" s="12" t="n">
        <v>5000000</v>
      </c>
      <c r="E21" s="13">
        <f>C21*D21</f>
        <v/>
      </c>
      <c r="F21" s="14" t="inlineStr">
        <is>
          <t>1회 500만 × 2회 (신규 반영)</t>
        </is>
      </c>
    </row>
    <row r="22" ht="21" customHeight="1">
      <c r="B22" s="10" t="inlineStr">
        <is>
          <t>어필리에이트 (올영 쇼핑 큐레이터)</t>
        </is>
      </c>
      <c r="C22" s="11" t="n">
        <v>60</v>
      </c>
      <c r="D22" s="12" t="n">
        <v>100000</v>
      </c>
      <c r="E22" s="13">
        <f>C22*D22</f>
        <v/>
      </c>
      <c r="F22" s="14" t="inlineStr">
        <is>
          <t>건당 10만 (신규 반영)</t>
        </is>
      </c>
    </row>
    <row r="23" ht="21" customHeight="1">
      <c r="A23" s="8" t="inlineStr">
        <is>
          <t>■ 무상 제공 (Value-add · 0원)</t>
        </is>
      </c>
      <c r="B23" s="9" t="n"/>
      <c r="C23" s="9" t="n"/>
      <c r="D23" s="9" t="n"/>
      <c r="E23" s="9" t="n"/>
      <c r="F23" s="9" t="n"/>
    </row>
    <row r="24" ht="21" customHeight="1">
      <c r="B24" s="10" t="inlineStr">
        <is>
          <t>고성과 리포트 대시보드 (실시간 성과·랭킹 트래킹)</t>
        </is>
      </c>
      <c r="C24" s="11" t="inlineStr">
        <is>
          <t>-</t>
        </is>
      </c>
      <c r="D24" s="15" t="inlineStr">
        <is>
          <t>-</t>
        </is>
      </c>
      <c r="E24" s="16" t="n">
        <v>0</v>
      </c>
      <c r="F24" s="17" t="inlineStr">
        <is>
          <t>무상 제공</t>
        </is>
      </c>
    </row>
    <row r="25" ht="21" customHeight="1">
      <c r="B25" s="10" t="inlineStr">
        <is>
          <t>올리비아 — AI 콘텐츠·리포팅 어시스턴트</t>
        </is>
      </c>
      <c r="C25" s="11" t="inlineStr">
        <is>
          <t>-</t>
        </is>
      </c>
      <c r="D25" s="15" t="inlineStr">
        <is>
          <t>-</t>
        </is>
      </c>
      <c r="E25" s="16" t="n">
        <v>0</v>
      </c>
      <c r="F25" s="17" t="inlineStr">
        <is>
          <t>무상 제공</t>
        </is>
      </c>
    </row>
    <row r="26" ht="21" customHeight="1">
      <c r="B26" s="10" t="inlineStr">
        <is>
          <t>퍼포먼스 소재 제작 지원 (위닝 소재 PA 2차)</t>
        </is>
      </c>
      <c r="C26" s="11" t="inlineStr">
        <is>
          <t>-</t>
        </is>
      </c>
      <c r="D26" s="15" t="inlineStr">
        <is>
          <t>-</t>
        </is>
      </c>
      <c r="E26" s="16" t="n">
        <v>0</v>
      </c>
      <c r="F26" s="17" t="inlineStr">
        <is>
          <t>무상 제공</t>
        </is>
      </c>
    </row>
    <row r="27" ht="21" customHeight="1">
      <c r="B27" s="10" t="inlineStr">
        <is>
          <t>VOC 딥다이브 리포트 (리뷰 크롤링·키워드 분석)</t>
        </is>
      </c>
      <c r="C27" s="11" t="inlineStr">
        <is>
          <t>-</t>
        </is>
      </c>
      <c r="D27" s="15" t="inlineStr">
        <is>
          <t>-</t>
        </is>
      </c>
      <c r="E27" s="16" t="n">
        <v>0</v>
      </c>
      <c r="F27" s="17" t="inlineStr">
        <is>
          <t>무상 제공</t>
        </is>
      </c>
    </row>
    <row r="28" ht="21" customHeight="1">
      <c r="B28" s="10" t="inlineStr">
        <is>
          <t>Claude AI 심의 사전검수 (반려율↓·기간 단축)</t>
        </is>
      </c>
      <c r="C28" s="11" t="inlineStr">
        <is>
          <t>-</t>
        </is>
      </c>
      <c r="D28" s="15" t="inlineStr">
        <is>
          <t>-</t>
        </is>
      </c>
      <c r="E28" s="16" t="n">
        <v>0</v>
      </c>
      <c r="F28" s="17" t="inlineStr">
        <is>
          <t>무상 제공</t>
        </is>
      </c>
    </row>
    <row r="29" ht="21" customHeight="1">
      <c r="B29" s="10" t="inlineStr">
        <is>
          <t>월간 성과 리포팅 (일·주·월간)</t>
        </is>
      </c>
      <c r="C29" s="11" t="inlineStr">
        <is>
          <t>-</t>
        </is>
      </c>
      <c r="D29" s="15" t="inlineStr">
        <is>
          <t>-</t>
        </is>
      </c>
      <c r="E29" s="16" t="n">
        <v>0</v>
      </c>
      <c r="F29" s="17" t="inlineStr">
        <is>
          <t>무상 제공</t>
        </is>
      </c>
    </row>
    <row r="30" ht="21" customHeight="1">
      <c r="B30" s="10" t="inlineStr">
        <is>
          <t>크리에이터 풀 매칭·관리 / 위기 대응 모니터링</t>
        </is>
      </c>
      <c r="C30" s="11" t="inlineStr">
        <is>
          <t>-</t>
        </is>
      </c>
      <c r="D30" s="15" t="inlineStr">
        <is>
          <t>-</t>
        </is>
      </c>
      <c r="E30" s="16" t="n">
        <v>0</v>
      </c>
      <c r="F30" s="17" t="inlineStr">
        <is>
          <t>무상 제공</t>
        </is>
      </c>
    </row>
    <row r="31" ht="21" customHeight="1">
      <c r="A31" s="18" t="n"/>
      <c r="B31" s="19" t="inlineStr">
        <is>
          <t>투입비(집행) 소계</t>
        </is>
      </c>
      <c r="C31" s="18" t="n"/>
      <c r="D31" s="18" t="n"/>
      <c r="E31" s="20">
        <f>SUM(E7:E12)+E14+E15+E16+SUM(E19:E22)</f>
        <v/>
      </c>
      <c r="F31" s="18" t="n"/>
    </row>
    <row r="32" ht="21" customHeight="1">
      <c r="A32" s="21" t="n"/>
      <c r="B32" s="22" t="inlineStr">
        <is>
          <t>마크업 (수수료 = 투입비 × 마크업율)</t>
        </is>
      </c>
      <c r="C32" s="21" t="n"/>
      <c r="D32" s="21" t="n"/>
      <c r="E32" s="23">
        <f>E31*$F$3</f>
        <v/>
      </c>
      <c r="F32" s="21" t="n"/>
    </row>
    <row r="33" ht="21" customHeight="1">
      <c r="A33" s="18" t="n"/>
      <c r="B33" s="19" t="inlineStr">
        <is>
          <t>공급가액 (투입비 + 마크업)</t>
        </is>
      </c>
      <c r="C33" s="18" t="n"/>
      <c r="D33" s="18" t="n"/>
      <c r="E33" s="20">
        <f>E31+E32</f>
        <v/>
      </c>
      <c r="F33" s="18" t="n"/>
    </row>
    <row r="34" ht="21" customHeight="1">
      <c r="A34" s="18" t="n"/>
      <c r="B34" s="19" t="inlineStr">
        <is>
          <t>부가가치세 (10%)</t>
        </is>
      </c>
      <c r="C34" s="18" t="n"/>
      <c r="D34" s="18" t="n"/>
      <c r="E34" s="20">
        <f>E33*0.1</f>
        <v/>
      </c>
      <c r="F34" s="18" t="n"/>
    </row>
    <row r="35" ht="21" customHeight="1">
      <c r="A35" s="24" t="n"/>
      <c r="B35" s="25" t="inlineStr">
        <is>
          <t>합계 금액 (VAT 포함)</t>
        </is>
      </c>
      <c r="C35" s="24" t="n"/>
      <c r="D35" s="24" t="n"/>
      <c r="E35" s="26">
        <f>E33*1.1</f>
        <v/>
      </c>
      <c r="F35" s="24" t="n"/>
    </row>
    <row r="37">
      <c r="D37" s="3" t="inlineStr">
        <is>
          <t>목표 대비 차액</t>
        </is>
      </c>
      <c r="E37" s="27">
        <f>$F$2-E31</f>
        <v/>
      </c>
      <c r="F37" s="28" t="inlineStr">
        <is>
          <t>0 이면 투입비 2.5억 정확히 일치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8" customWidth="1" min="3" max="3"/>
    <col width="11" customWidth="1" min="4" max="4"/>
    <col width="10" customWidth="1" min="5" max="5"/>
    <col width="9" customWidth="1" min="6" max="6"/>
    <col width="11" customWidth="1" min="7" max="7"/>
    <col width="11" customWidth="1" min="8" max="8"/>
    <col width="9" customWidth="1" min="9" max="9"/>
    <col width="15" customWidth="1" min="10" max="10"/>
  </cols>
  <sheetData>
    <row r="1">
      <c r="A1" s="29" t="inlineStr">
        <is>
          <t>월별 실행 타임라인 · 액션플랜 (투입비 연동)</t>
        </is>
      </c>
    </row>
    <row r="2">
      <c r="A2" s="2" t="inlineStr">
        <is>
          <t>단가/금액은 견적서와 동일 · 합계 금액 = 투입비 2.5억 (마크업·VAT 별도)</t>
        </is>
      </c>
    </row>
    <row r="4" ht="34" customHeight="1">
      <c r="A4" s="30" t="inlineStr">
        <is>
          <t>항목</t>
        </is>
      </c>
      <c r="B4" s="30" t="inlineStr">
        <is>
          <t>단가</t>
        </is>
      </c>
      <c r="C4" s="30" t="inlineStr">
        <is>
          <t>7월</t>
        </is>
      </c>
      <c r="D4" s="30" t="inlineStr">
        <is>
          <t>8월
세일사전</t>
        </is>
      </c>
      <c r="E4" s="30" t="inlineStr">
        <is>
          <t>9월
세일★</t>
        </is>
      </c>
      <c r="F4" s="30" t="inlineStr">
        <is>
          <t>10월</t>
        </is>
      </c>
      <c r="G4" s="30" t="inlineStr">
        <is>
          <t>11월
블프★</t>
        </is>
      </c>
      <c r="H4" s="30" t="inlineStr">
        <is>
          <t>12월
세일★</t>
        </is>
      </c>
      <c r="I4" s="30" t="inlineStr">
        <is>
          <t>합계</t>
        </is>
      </c>
      <c r="J4" s="30" t="inlineStr">
        <is>
          <t>금액</t>
        </is>
      </c>
    </row>
    <row r="5" ht="20" customHeight="1">
      <c r="A5" s="8" t="inlineStr">
        <is>
          <t>■ 크리에이터 시딩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 ht="20" customHeight="1">
      <c r="A6" s="10" t="inlineStr">
        <is>
          <t>매크로</t>
        </is>
      </c>
      <c r="B6" s="12" t="n">
        <v>800000</v>
      </c>
      <c r="C6" s="11" t="n"/>
      <c r="D6" s="11" t="n">
        <v>5</v>
      </c>
      <c r="E6" s="11" t="n"/>
      <c r="F6" s="11" t="n"/>
      <c r="G6" s="11" t="n">
        <v>5</v>
      </c>
      <c r="H6" s="11" t="n">
        <v>5</v>
      </c>
      <c r="I6" s="31">
        <f>SUM(C6:H6)</f>
        <v/>
      </c>
      <c r="J6" s="13">
        <f>I6*B6</f>
        <v/>
      </c>
    </row>
    <row r="7" ht="20" customHeight="1">
      <c r="A7" s="10" t="inlineStr">
        <is>
          <t>마이크로 (UGC)</t>
        </is>
      </c>
      <c r="B7" s="12" t="n">
        <v>500000</v>
      </c>
      <c r="C7" s="11" t="n">
        <v>15</v>
      </c>
      <c r="D7" s="11" t="n">
        <v>35</v>
      </c>
      <c r="E7" s="11" t="n">
        <v>20</v>
      </c>
      <c r="F7" s="11" t="n">
        <v>15</v>
      </c>
      <c r="G7" s="11" t="n">
        <v>30</v>
      </c>
      <c r="H7" s="11" t="n">
        <v>35</v>
      </c>
      <c r="I7" s="31">
        <f>SUM(C7:H7)</f>
        <v/>
      </c>
      <c r="J7" s="13">
        <f>I7*B7</f>
        <v/>
      </c>
    </row>
    <row r="8" ht="20" customHeight="1">
      <c r="A8" s="10" t="inlineStr">
        <is>
          <t>나노</t>
        </is>
      </c>
      <c r="B8" s="12" t="n">
        <v>250000</v>
      </c>
      <c r="C8" s="11" t="n">
        <v>25</v>
      </c>
      <c r="D8" s="11" t="n">
        <v>55</v>
      </c>
      <c r="E8" s="11" t="n">
        <v>35</v>
      </c>
      <c r="F8" s="11" t="n">
        <v>25</v>
      </c>
      <c r="G8" s="11" t="n">
        <v>40</v>
      </c>
      <c r="H8" s="11" t="n">
        <v>45</v>
      </c>
      <c r="I8" s="31">
        <f>SUM(C8:H8)</f>
        <v/>
      </c>
      <c r="J8" s="13">
        <f>I8*B8</f>
        <v/>
      </c>
    </row>
    <row r="9" ht="20" customHeight="1">
      <c r="A9" s="10" t="inlineStr">
        <is>
          <t>KOL 무가시딩</t>
        </is>
      </c>
      <c r="B9" s="12" t="n">
        <v>100000</v>
      </c>
      <c r="C9" s="11" t="n">
        <v>10</v>
      </c>
      <c r="D9" s="11" t="n">
        <v>10</v>
      </c>
      <c r="E9" s="11" t="n">
        <v>10</v>
      </c>
      <c r="F9" s="11" t="n">
        <v>10</v>
      </c>
      <c r="G9" s="11" t="n">
        <v>10</v>
      </c>
      <c r="H9" s="11" t="n">
        <v>10</v>
      </c>
      <c r="I9" s="31">
        <f>SUM(C9:H9)</f>
        <v/>
      </c>
      <c r="J9" s="13">
        <f>I9*B9</f>
        <v/>
      </c>
    </row>
    <row r="10" ht="20" customHeight="1">
      <c r="A10" s="10" t="inlineStr">
        <is>
          <t>X (트위터) 시딩</t>
        </is>
      </c>
      <c r="B10" s="12" t="n">
        <v>500000</v>
      </c>
      <c r="C10" s="11" t="n"/>
      <c r="D10" s="11" t="n">
        <v>5</v>
      </c>
      <c r="E10" s="11" t="n"/>
      <c r="F10" s="11" t="n"/>
      <c r="G10" s="11" t="n">
        <v>5</v>
      </c>
      <c r="H10" s="11" t="n">
        <v>5</v>
      </c>
      <c r="I10" s="31">
        <f>SUM(C10:H10)</f>
        <v/>
      </c>
      <c r="J10" s="13">
        <f>I10*B10</f>
        <v/>
      </c>
    </row>
    <row r="11" ht="20" customHeight="1">
      <c r="A11" s="10" t="inlineStr">
        <is>
          <t>네이버 블로그</t>
        </is>
      </c>
      <c r="B11" s="12" t="n">
        <v>300000</v>
      </c>
      <c r="C11" s="11" t="n"/>
      <c r="D11" s="11" t="n">
        <v>5</v>
      </c>
      <c r="E11" s="11" t="n"/>
      <c r="F11" s="11" t="n"/>
      <c r="G11" s="11" t="n">
        <v>5</v>
      </c>
      <c r="H11" s="11" t="n">
        <v>5</v>
      </c>
      <c r="I11" s="31">
        <f>SUM(C11:H11)</f>
        <v/>
      </c>
      <c r="J11" s="13">
        <f>I11*B11</f>
        <v/>
      </c>
    </row>
    <row r="12" ht="20" customHeight="1">
      <c r="A12" s="8" t="inlineStr">
        <is>
          <t>■ 콘텐츠 제작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20" customHeight="1">
      <c r="A13" s="10" t="inlineStr">
        <is>
          <t>EGC 콘텐츠</t>
        </is>
      </c>
      <c r="B13" s="12" t="n">
        <v>1000000</v>
      </c>
      <c r="C13" s="11" t="n">
        <v>2</v>
      </c>
      <c r="D13" s="11" t="n">
        <v>2</v>
      </c>
      <c r="E13" s="11" t="n">
        <v>2</v>
      </c>
      <c r="F13" s="11" t="n">
        <v>2</v>
      </c>
      <c r="G13" s="11" t="n">
        <v>2</v>
      </c>
      <c r="H13" s="11" t="n">
        <v>2</v>
      </c>
      <c r="I13" s="31">
        <f>SUM(C13:H13)</f>
        <v/>
      </c>
      <c r="J13" s="13">
        <f>I13*B13</f>
        <v/>
      </c>
    </row>
    <row r="14" ht="20" customHeight="1">
      <c r="A14" s="10" t="inlineStr">
        <is>
          <t>Half EGC 콘텐츠</t>
        </is>
      </c>
      <c r="B14" s="12" t="n">
        <v>1250000</v>
      </c>
      <c r="C14" s="11" t="n">
        <v>1</v>
      </c>
      <c r="D14" s="11" t="n">
        <v>1</v>
      </c>
      <c r="E14" s="11" t="n">
        <v>1</v>
      </c>
      <c r="F14" s="11" t="n">
        <v>1</v>
      </c>
      <c r="G14" s="11" t="n">
        <v>1</v>
      </c>
      <c r="H14" s="11" t="n">
        <v>1</v>
      </c>
      <c r="I14" s="31">
        <f>SUM(C14:H14)</f>
        <v/>
      </c>
      <c r="J14" s="13">
        <f>I14*B14</f>
        <v/>
      </c>
    </row>
    <row r="15" ht="20" customHeight="1">
      <c r="A15" s="10" t="inlineStr">
        <is>
          <t>KV·디자인·영상 (상시)</t>
        </is>
      </c>
      <c r="B15" s="11" t="inlineStr">
        <is>
          <t>상시</t>
        </is>
      </c>
      <c r="C15" s="11" t="n"/>
      <c r="D15" s="11" t="n"/>
      <c r="E15" s="11" t="n"/>
      <c r="F15" s="11" t="n"/>
      <c r="G15" s="11" t="n"/>
      <c r="H15" s="11" t="n"/>
      <c r="I15" s="11" t="inlineStr">
        <is>
          <t>상시</t>
        </is>
      </c>
      <c r="J15" s="13">
        <f>견적서!E16</f>
        <v/>
      </c>
    </row>
    <row r="16" ht="20" customHeight="1">
      <c r="A16" s="8" t="inlineStr">
        <is>
          <t>■ 바이럴 · 전환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20" customHeight="1">
      <c r="A17" s="10" t="inlineStr">
        <is>
          <t>파워페이지</t>
        </is>
      </c>
      <c r="B17" s="12" t="n">
        <v>800000</v>
      </c>
      <c r="C17" s="11" t="n"/>
      <c r="D17" s="11" t="n">
        <v>3</v>
      </c>
      <c r="E17" s="11" t="n"/>
      <c r="F17" s="11" t="n"/>
      <c r="G17" s="11" t="n">
        <v>3</v>
      </c>
      <c r="H17" s="11" t="n">
        <v>3</v>
      </c>
      <c r="I17" s="31">
        <f>SUM(C17:H17)</f>
        <v/>
      </c>
      <c r="J17" s="13">
        <f>I17*B17</f>
        <v/>
      </c>
    </row>
    <row r="18" ht="20" customHeight="1">
      <c r="A18" s="10" t="inlineStr">
        <is>
          <t>커뮤니티 체험단</t>
        </is>
      </c>
      <c r="B18" s="12" t="n">
        <v>5000000</v>
      </c>
      <c r="C18" s="11" t="n"/>
      <c r="D18" s="11" t="n">
        <v>1</v>
      </c>
      <c r="E18" s="11" t="n"/>
      <c r="F18" s="11" t="n"/>
      <c r="G18" s="11" t="n">
        <v>1</v>
      </c>
      <c r="H18" s="11" t="n">
        <v>1</v>
      </c>
      <c r="I18" s="31">
        <f>SUM(C18:H18)</f>
        <v/>
      </c>
      <c r="J18" s="13">
        <f>I18*B18</f>
        <v/>
      </c>
    </row>
    <row r="19" ht="20" customHeight="1">
      <c r="A19" s="10" t="inlineStr">
        <is>
          <t>챌린저스</t>
        </is>
      </c>
      <c r="B19" s="12" t="n">
        <v>5000000</v>
      </c>
      <c r="C19" s="11" t="n"/>
      <c r="D19" s="11" t="n">
        <v>1</v>
      </c>
      <c r="E19" s="11" t="n"/>
      <c r="F19" s="11" t="n"/>
      <c r="G19" s="11" t="n">
        <v>1</v>
      </c>
      <c r="H19" s="11" t="n"/>
      <c r="I19" s="31">
        <f>SUM(C19:H19)</f>
        <v/>
      </c>
      <c r="J19" s="13">
        <f>I19*B19</f>
        <v/>
      </c>
    </row>
    <row r="20" ht="20" customHeight="1">
      <c r="A20" s="10" t="inlineStr">
        <is>
          <t>어필리에이트 (누적)</t>
        </is>
      </c>
      <c r="B20" s="12" t="n">
        <v>100000</v>
      </c>
      <c r="C20" s="11" t="n">
        <v>10</v>
      </c>
      <c r="D20" s="11" t="n">
        <v>20</v>
      </c>
      <c r="E20" s="11" t="n">
        <v>30</v>
      </c>
      <c r="F20" s="11" t="n">
        <v>40</v>
      </c>
      <c r="G20" s="11" t="n">
        <v>50</v>
      </c>
      <c r="H20" s="11" t="n">
        <v>60</v>
      </c>
      <c r="I20" s="31" t="inlineStr">
        <is>
          <t>누적 60</t>
        </is>
      </c>
      <c r="J20" s="13">
        <f>60*B20</f>
        <v/>
      </c>
    </row>
    <row r="22">
      <c r="A22" s="32" t="inlineStr">
        <is>
          <t>월 시딩 총건수</t>
        </is>
      </c>
      <c r="B22" s="18" t="inlineStr"/>
      <c r="C22" s="33">
        <f>SUM(C6:C11)</f>
        <v/>
      </c>
      <c r="D22" s="33">
        <f>SUM(D6:D11)</f>
        <v/>
      </c>
      <c r="E22" s="33">
        <f>SUM(E6:E11)</f>
        <v/>
      </c>
      <c r="F22" s="33">
        <f>SUM(F6:F11)</f>
        <v/>
      </c>
      <c r="G22" s="33">
        <f>SUM(G6:G11)</f>
        <v/>
      </c>
      <c r="H22" s="33">
        <f>SUM(H6:H11)</f>
        <v/>
      </c>
      <c r="I22" s="33">
        <f>SUM(C22:H22)</f>
        <v/>
      </c>
      <c r="J22" s="18" t="inlineStr"/>
    </row>
    <row r="23">
      <c r="I23" s="3" t="inlineStr">
        <is>
          <t>투입비 합계</t>
        </is>
      </c>
      <c r="J23" s="16">
        <f>SUM(J6:J20)</f>
        <v/>
      </c>
    </row>
    <row r="24">
      <c r="I24" s="34" t="inlineStr">
        <is>
          <t>견적 투입비 일치?</t>
        </is>
      </c>
      <c r="J24" s="35">
        <f>IF(J23=견적서!E31,"일치","불일치")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2026-06-18T02:23:03Z</dcterms:created>
  <dcterms:modified xmlns:dcterms="http://purl.org/dc/terms/" xmlns:xsi="http://www.w3.org/2001/XMLSchema-instance" xsi:type="dcterms:W3CDTF">2026-06-18T02:23:03Z</dcterms:modified>
</cp:coreProperties>
</file>