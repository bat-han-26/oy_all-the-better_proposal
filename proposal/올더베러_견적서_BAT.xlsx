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0" windowWidth="29040" windowHeight="15720" tabRatio="600" firstSheet="0" activeTab="1" autoFilterDateGrouping="1"/>
  </bookViews>
  <sheets>
    <sheet xmlns:r="http://schemas.openxmlformats.org/officeDocument/2006/relationships" name="견적제안" sheetId="1" state="visible" r:id="rId1"/>
    <sheet xmlns:r="http://schemas.openxmlformats.org/officeDocument/2006/relationships" name="견적상세" sheetId="2" state="visible" r:id="rId2"/>
    <sheet xmlns:r="http://schemas.openxmlformats.org/officeDocument/2006/relationships" name="월별 액션플랜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-* #,##0_-;\-* #,##0_-;_-* &quot;-&quot;_-;_-@_-"/>
    <numFmt numFmtId="165" formatCode="0.0%"/>
    <numFmt numFmtId="166" formatCode="_-* #,##0_-;-* #,##0_-;_-* &quot;-&quot;_-;_-@_-"/>
  </numFmts>
  <fonts count="3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262626"/>
      <sz val="18"/>
    </font>
    <font>
      <name val="맑은 고딕"/>
      <charset val="129"/>
      <family val="3"/>
      <b val="1"/>
      <color rgb="FF262626"/>
      <sz val="10"/>
    </font>
    <font>
      <name val="맑은 고딕"/>
      <charset val="129"/>
      <family val="3"/>
      <color rgb="FF262626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262626"/>
      <sz val="13"/>
    </font>
    <font>
      <name val="맑은 고딕"/>
      <charset val="129"/>
      <family val="3"/>
      <color rgb="FF808080"/>
      <sz val="9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82A08"/>
      <sz val="10"/>
    </font>
    <font>
      <name val="맑은 고딕"/>
      <charset val="129"/>
      <family val="3"/>
      <color rgb="FF262626"/>
      <sz val="9"/>
    </font>
    <font>
      <name val="맑은 고딕"/>
      <charset val="129"/>
      <family val="3"/>
      <color rgb="FF082A08"/>
      <sz val="9"/>
    </font>
    <font>
      <name val="맑은 고딕"/>
      <charset val="129"/>
      <family val="3"/>
      <color rgb="FF082A08"/>
      <sz val="10"/>
    </font>
    <font>
      <name val="맑은 고딕"/>
      <charset val="129"/>
      <family val="3"/>
      <b val="1"/>
      <color rgb="FF262626"/>
      <sz val="14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0"/>
      <sz val="16"/>
    </font>
    <font>
      <name val="맑은 고딕"/>
      <charset val="129"/>
      <family val="3"/>
      <b val="1"/>
      <color theme="0"/>
      <sz val="10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b val="1"/>
      <color theme="0"/>
      <sz val="18"/>
    </font>
    <font>
      <name val="맑은 고딕"/>
      <charset val="129"/>
      <family val="3"/>
      <b val="1"/>
      <color rgb="FF082A08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262626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sz val="10"/>
    </font>
    <font>
      <name val="맑은 고딕"/>
      <charset val="129"/>
      <family val="3"/>
      <sz val="9"/>
    </font>
    <font>
      <name val="맑은 고딕"/>
      <charset val="129"/>
      <family val="3"/>
      <color rgb="FF262626"/>
      <sz val="10"/>
      <u val="single"/>
    </font>
    <font>
      <name val="맑은 고딕"/>
      <charset val="129"/>
      <family val="3"/>
      <b val="1"/>
      <color rgb="FF082A08"/>
      <sz val="12"/>
    </font>
    <font>
      <name val="Segoe UI"/>
      <family val="2"/>
      <sz val="8"/>
    </font>
    <font>
      <name val="맑은 고딕"/>
      <charset val="129"/>
      <family val="3"/>
      <sz val="10"/>
      <scheme val="minor"/>
    </font>
    <font>
      <name val="맑은 고딕"/>
      <charset val="129"/>
      <family val="3"/>
      <sz val="10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sz val="10"/>
    </font>
    <font>
      <name val="맑은 고딕"/>
      <b val="1"/>
      <color rgb="00FFFFFF"/>
      <sz val="15"/>
    </font>
    <font>
      <name val="맑은 고딕"/>
      <b val="1"/>
      <color rgb="00082A08"/>
      <sz val="10"/>
    </font>
    <font>
      <name val="맑은 고딕"/>
      <color rgb="00262626"/>
      <sz val="10"/>
    </font>
    <font>
      <name val="맑은 고딕"/>
      <b val="1"/>
      <color rgb="00082A08"/>
      <sz val="13"/>
    </font>
    <font>
      <name val="맑은 고딕"/>
      <b val="1"/>
      <color rgb="00FFFFFF"/>
      <sz val="10"/>
    </font>
    <font>
      <name val="맑은 고딕"/>
      <color rgb="00262626"/>
      <sz val="9"/>
    </font>
    <font>
      <name val="맑은 고딕"/>
      <b val="1"/>
      <color rgb="00262626"/>
      <sz val="10"/>
    </font>
  </fonts>
  <fills count="24">
    <fill>
      <patternFill/>
    </fill>
    <fill>
      <patternFill patternType="gray125"/>
    </fill>
    <fill>
      <patternFill patternType="solid">
        <fgColor rgb="FF404040"/>
      </patternFill>
    </fill>
    <fill>
      <patternFill patternType="solid">
        <fgColor rgb="FF82DC28"/>
      </patternFill>
    </fill>
    <fill>
      <patternFill patternType="solid">
        <fgColor rgb="FF62A81B"/>
      </patternFill>
    </fill>
    <fill>
      <patternFill patternType="solid">
        <fgColor rgb="FF082A08"/>
      </patternFill>
    </fill>
    <fill>
      <patternFill patternType="solid">
        <fgColor rgb="FFEAF3DA"/>
      </patternFill>
    </fill>
    <fill>
      <patternFill patternType="solid">
        <fgColor rgb="FFD9D9D9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F3DA"/>
      </patternFill>
    </fill>
    <fill>
      <patternFill patternType="solid">
        <fgColor rgb="FF404040"/>
      </patternFill>
    </fill>
    <fill>
      <patternFill patternType="solid">
        <fgColor rgb="FF82DC28"/>
      </patternFill>
    </fill>
    <fill>
      <patternFill patternType="solid">
        <fgColor rgb="FF62A81B"/>
      </patternFill>
    </fill>
    <fill>
      <patternFill patternType="solid">
        <fgColor rgb="FF082A08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082A08"/>
      </patternFill>
    </fill>
    <fill>
      <patternFill patternType="solid">
        <fgColor rgb="00404040"/>
      </patternFill>
    </fill>
    <fill>
      <patternFill patternType="solid">
        <fgColor rgb="00EAF3DA"/>
      </patternFill>
    </fill>
    <fill>
      <patternFill patternType="solid">
        <fgColor rgb="00D9D9D9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rgb="FFD9D9D9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rgb="FFD9D9D9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rgb="FFD9D9D9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/>
      <top style="thin">
        <color rgb="FFBFBFBF"/>
      </top>
      <bottom style="medium">
        <color indexed="64"/>
      </bottom>
      <diagonal/>
    </border>
    <border>
      <left/>
      <right style="thin">
        <color rgb="FFBFBFBF"/>
      </right>
      <top style="thin">
        <color rgb="FFBFBFBF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rgb="FFBFBFBF"/>
      </right>
      <top style="medium">
        <color indexed="64"/>
      </top>
      <bottom style="medium">
        <color indexed="64"/>
      </bottom>
      <diagonal/>
    </border>
    <border>
      <left style="thin">
        <color rgb="FFBFBFBF"/>
      </left>
      <right style="thin">
        <color rgb="FFBFBFBF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rgb="FFBFBFBF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BFBFBF"/>
      </right>
      <top/>
      <bottom style="medium">
        <color indexed="64"/>
      </bottom>
      <diagonal/>
    </border>
    <border>
      <left style="medium">
        <color indexed="64"/>
      </left>
      <right style="thin">
        <color rgb="FFBFBFBF"/>
      </right>
      <top/>
      <bottom/>
      <diagonal/>
    </border>
    <border>
      <left style="thin">
        <color rgb="FFBFBFBF"/>
      </left>
      <right/>
      <top style="thin">
        <color rgb="FFBFBFBF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hair">
        <color rgb="FFD9D9D9"/>
      </left>
      <right style="hair">
        <color rgb="FFD9D9D9"/>
      </right>
      <top/>
      <bottom style="thin">
        <color indexed="64"/>
      </bottom>
      <diagonal/>
    </border>
    <border>
      <left style="thin">
        <color rgb="FFBFBFBF"/>
      </left>
      <right/>
      <top style="medium">
        <color indexed="64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indexed="64"/>
      </left>
      <right style="thin">
        <color rgb="FFBFBFBF"/>
      </right>
      <top style="medium">
        <color indexed="64"/>
      </top>
      <bottom/>
      <diagonal/>
    </border>
    <border>
      <left style="thin">
        <color rgb="FFBFBFBF"/>
      </left>
      <right style="thin">
        <color rgb="FFBFBFBF"/>
      </right>
      <top style="medium">
        <color indexed="64"/>
      </top>
      <bottom/>
      <diagonal/>
    </border>
    <border>
      <left style="thin">
        <color rgb="FFBFBFBF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29" fillId="0" borderId="0"/>
    <xf numFmtId="9" fontId="29" fillId="0" borderId="0" applyAlignment="1">
      <alignment vertical="center"/>
    </xf>
  </cellStyleXfs>
  <cellXfs count="294"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9" borderId="6" pivotButton="0" quotePrefix="0" xfId="0"/>
    <xf numFmtId="0" fontId="0" fillId="9" borderId="0" pivotButton="0" quotePrefix="0" xfId="0"/>
    <xf numFmtId="0" fontId="0" fillId="9" borderId="7" pivotButton="0" quotePrefix="0" xfId="0"/>
    <xf numFmtId="0" fontId="3" fillId="9" borderId="7" applyAlignment="1" pivotButton="0" quotePrefix="0" xfId="0">
      <alignment horizontal="left" vertical="center"/>
    </xf>
    <xf numFmtId="0" fontId="2" fillId="9" borderId="7" applyAlignment="1" pivotButton="0" quotePrefix="0" xfId="0">
      <alignment horizontal="left" vertical="center"/>
    </xf>
    <xf numFmtId="0" fontId="4" fillId="9" borderId="7" applyAlignment="1" pivotButton="0" quotePrefix="0" xfId="0">
      <alignment horizontal="left" vertical="center"/>
    </xf>
    <xf numFmtId="0" fontId="0" fillId="9" borderId="9" pivotButton="0" quotePrefix="0" xfId="0"/>
    <xf numFmtId="0" fontId="3" fillId="9" borderId="10" applyAlignment="1" pivotButton="0" quotePrefix="0" xfId="0">
      <alignment horizontal="left" vertical="center"/>
    </xf>
    <xf numFmtId="0" fontId="2" fillId="9" borderId="12" applyAlignment="1" pivotButton="0" quotePrefix="0" xfId="0">
      <alignment horizontal="left" vertical="center"/>
    </xf>
    <xf numFmtId="0" fontId="0" fillId="9" borderId="4" pivotButton="0" quotePrefix="0" xfId="0"/>
    <xf numFmtId="0" fontId="3" fillId="9" borderId="5" applyAlignment="1" pivotButton="0" quotePrefix="0" xfId="0">
      <alignment horizontal="left" vertical="center"/>
    </xf>
    <xf numFmtId="0" fontId="1" fillId="9" borderId="10" applyAlignment="1" pivotButton="0" quotePrefix="0" xfId="0">
      <alignment horizontal="left" vertical="center"/>
    </xf>
    <xf numFmtId="0" fontId="2" fillId="9" borderId="5" applyAlignment="1" pivotButton="0" quotePrefix="0" xfId="0">
      <alignment horizontal="left" vertical="center"/>
    </xf>
    <xf numFmtId="0" fontId="2" fillId="9" borderId="10" applyAlignment="1" pivotButton="0" quotePrefix="0" xfId="0">
      <alignment horizontal="left" vertical="center"/>
    </xf>
    <xf numFmtId="0" fontId="0" fillId="9" borderId="13" pivotButton="0" quotePrefix="0" xfId="0"/>
    <xf numFmtId="0" fontId="3" fillId="9" borderId="14" applyAlignment="1" pivotButton="0" quotePrefix="0" xfId="0">
      <alignment horizontal="left" vertical="center"/>
    </xf>
    <xf numFmtId="0" fontId="9" fillId="9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/>
    </xf>
    <xf numFmtId="164" fontId="3" fillId="9" borderId="1" applyAlignment="1" pivotButton="0" quotePrefix="0" xfId="0">
      <alignment horizontal="center" vertical="center"/>
    </xf>
    <xf numFmtId="164" fontId="11" fillId="9" borderId="1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0" fillId="9" borderId="0" applyAlignment="1" pivotButton="0" quotePrefix="0" xfId="0">
      <alignment horizontal="center"/>
    </xf>
    <xf numFmtId="0" fontId="7" fillId="2" borderId="15" applyAlignment="1" pivotButton="0" quotePrefix="0" xfId="0">
      <alignment horizontal="center" vertical="center" wrapText="1"/>
    </xf>
    <xf numFmtId="0" fontId="7" fillId="2" borderId="16" applyAlignment="1" pivotButton="0" quotePrefix="0" xfId="0">
      <alignment horizontal="center" vertical="center" wrapText="1"/>
    </xf>
    <xf numFmtId="0" fontId="2" fillId="3" borderId="16" applyAlignment="1" pivotButton="0" quotePrefix="0" xfId="0">
      <alignment horizontal="center" vertical="center" wrapText="1"/>
    </xf>
    <xf numFmtId="0" fontId="7" fillId="4" borderId="16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left" vertical="center"/>
    </xf>
    <xf numFmtId="0" fontId="2" fillId="9" borderId="17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164" fontId="2" fillId="3" borderId="21" applyAlignment="1" pivotButton="0" quotePrefix="0" xfId="0">
      <alignment horizontal="center" vertical="center"/>
    </xf>
    <xf numFmtId="0" fontId="8" fillId="6" borderId="15" applyAlignment="1" pivotButton="0" quotePrefix="0" xfId="0">
      <alignment horizontal="left" vertical="center"/>
    </xf>
    <xf numFmtId="164" fontId="7" fillId="2" borderId="26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 wrapText="1"/>
    </xf>
    <xf numFmtId="0" fontId="2" fillId="3" borderId="11" applyAlignment="1" pivotButton="0" quotePrefix="0" xfId="0">
      <alignment horizontal="center" vertical="center" wrapText="1"/>
    </xf>
    <xf numFmtId="0" fontId="7" fillId="5" borderId="11" applyAlignment="1" pivotButton="0" quotePrefix="0" xfId="0">
      <alignment horizontal="center" vertical="center" wrapText="1"/>
    </xf>
    <xf numFmtId="0" fontId="3" fillId="7" borderId="11" applyAlignment="1" pivotButton="0" quotePrefix="0" xfId="0">
      <alignment horizontal="center" vertical="center"/>
    </xf>
    <xf numFmtId="164" fontId="3" fillId="0" borderId="11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164" fontId="2" fillId="0" borderId="11" applyAlignment="1" pivotButton="0" quotePrefix="0" xfId="0">
      <alignment horizontal="center" vertical="center"/>
    </xf>
    <xf numFmtId="0" fontId="2" fillId="7" borderId="11" applyAlignment="1" pivotButton="0" quotePrefix="0" xfId="0">
      <alignment horizontal="center" vertical="center"/>
    </xf>
    <xf numFmtId="164" fontId="2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7" borderId="13" applyAlignment="1" pivotButton="0" quotePrefix="0" xfId="0">
      <alignment vertical="center"/>
    </xf>
    <xf numFmtId="0" fontId="2" fillId="7" borderId="14" applyAlignment="1" pivotButton="0" quotePrefix="0" xfId="0">
      <alignment vertical="center"/>
    </xf>
    <xf numFmtId="0" fontId="2" fillId="7" borderId="29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4" pivotButton="0" quotePrefix="0" xfId="0"/>
    <xf numFmtId="0" fontId="0" fillId="0" borderId="25" pivotButton="0" quotePrefix="0" xfId="0"/>
    <xf numFmtId="0" fontId="22" fillId="0" borderId="32" applyAlignment="1" pivotButton="0" quotePrefix="0" xfId="0">
      <alignment horizontal="center" vertical="center"/>
    </xf>
    <xf numFmtId="0" fontId="21" fillId="0" borderId="32" applyAlignment="1" pivotButton="0" quotePrefix="0" xfId="0">
      <alignment horizontal="center" vertical="center"/>
    </xf>
    <xf numFmtId="164" fontId="22" fillId="0" borderId="32" applyAlignment="1" pivotButton="0" quotePrefix="0" xfId="0">
      <alignment horizontal="center" vertical="center"/>
    </xf>
    <xf numFmtId="164" fontId="22" fillId="0" borderId="32" applyAlignment="1" pivotButton="0" quotePrefix="0" xfId="0">
      <alignment vertical="center"/>
    </xf>
    <xf numFmtId="0" fontId="21" fillId="0" borderId="17" applyAlignment="1" pivotButton="0" quotePrefix="0" xfId="0">
      <alignment horizontal="center" vertical="center" wrapText="1"/>
    </xf>
    <xf numFmtId="0" fontId="0" fillId="9" borderId="34" applyAlignment="1" pivotButton="0" quotePrefix="0" xfId="0">
      <alignment horizontal="center"/>
    </xf>
    <xf numFmtId="0" fontId="0" fillId="9" borderId="35" applyAlignment="1" pivotButton="0" quotePrefix="0" xfId="0">
      <alignment horizontal="center"/>
    </xf>
    <xf numFmtId="0" fontId="0" fillId="9" borderId="36" applyAlignment="1" pivotButton="0" quotePrefix="0" xfId="0">
      <alignment horizontal="center"/>
    </xf>
    <xf numFmtId="0" fontId="0" fillId="9" borderId="36" pivotButton="0" quotePrefix="0" xfId="0"/>
    <xf numFmtId="0" fontId="3" fillId="9" borderId="32" applyAlignment="1" pivotButton="0" quotePrefix="0" xfId="0">
      <alignment horizontal="center" vertical="center"/>
    </xf>
    <xf numFmtId="0" fontId="9" fillId="9" borderId="32" applyAlignment="1" pivotButton="0" quotePrefix="0" xfId="0">
      <alignment horizontal="left" vertical="center" wrapText="1"/>
    </xf>
    <xf numFmtId="0" fontId="10" fillId="9" borderId="32" applyAlignment="1" pivotButton="0" quotePrefix="0" xfId="0">
      <alignment horizontal="left" vertical="center" wrapText="1"/>
    </xf>
    <xf numFmtId="0" fontId="2" fillId="9" borderId="32" applyAlignment="1" pivotButton="0" quotePrefix="0" xfId="0">
      <alignment horizontal="center" vertical="center"/>
    </xf>
    <xf numFmtId="164" fontId="3" fillId="9" borderId="32" applyAlignment="1" pivotButton="0" quotePrefix="0" xfId="0">
      <alignment horizontal="center" vertical="center"/>
    </xf>
    <xf numFmtId="0" fontId="9" fillId="9" borderId="32" applyAlignment="1" pivotButton="0" quotePrefix="0" xfId="0">
      <alignment vertical="center" wrapText="1"/>
    </xf>
    <xf numFmtId="0" fontId="10" fillId="9" borderId="32" applyAlignment="1" pivotButton="0" quotePrefix="0" xfId="0">
      <alignment vertical="center" wrapText="1"/>
    </xf>
    <xf numFmtId="164" fontId="3" fillId="9" borderId="32" applyAlignment="1" pivotButton="0" quotePrefix="0" xfId="0">
      <alignment vertical="center"/>
    </xf>
    <xf numFmtId="0" fontId="9" fillId="9" borderId="1" applyAlignment="1" pivotButton="0" quotePrefix="0" xfId="0">
      <alignment vertical="center" wrapText="1"/>
    </xf>
    <xf numFmtId="0" fontId="10" fillId="9" borderId="1" applyAlignment="1" pivotButton="0" quotePrefix="0" xfId="0">
      <alignment vertical="center" wrapText="1"/>
    </xf>
    <xf numFmtId="164" fontId="3" fillId="9" borderId="1" applyAlignment="1" pivotButton="0" quotePrefix="0" xfId="0">
      <alignment vertical="center"/>
    </xf>
    <xf numFmtId="0" fontId="0" fillId="0" borderId="2" applyAlignment="1" pivotButton="0" quotePrefix="0" xfId="0">
      <alignment horizontal="center"/>
    </xf>
    <xf numFmtId="0" fontId="2" fillId="3" borderId="18" applyAlignment="1" pivotButton="0" quotePrefix="0" xfId="0">
      <alignment horizontal="center" vertical="center"/>
    </xf>
    <xf numFmtId="0" fontId="0" fillId="0" borderId="19" applyAlignment="1" pivotButton="0" quotePrefix="0" xfId="0">
      <alignment horizontal="center"/>
    </xf>
    <xf numFmtId="0" fontId="0" fillId="0" borderId="22" applyAlignment="1" pivotButton="0" quotePrefix="0" xfId="0">
      <alignment horizontal="center"/>
    </xf>
    <xf numFmtId="0" fontId="7" fillId="2" borderId="23" applyAlignment="1" pivotButton="0" quotePrefix="0" xfId="0">
      <alignment horizontal="center" vertical="center"/>
    </xf>
    <xf numFmtId="0" fontId="0" fillId="0" borderId="24" applyAlignment="1" pivotButton="0" quotePrefix="0" xfId="0">
      <alignment horizontal="center"/>
    </xf>
    <xf numFmtId="0" fontId="2" fillId="9" borderId="17" applyAlignment="1" pivotButton="0" quotePrefix="0" xfId="0">
      <alignment horizontal="center" vertical="center"/>
    </xf>
    <xf numFmtId="0" fontId="9" fillId="9" borderId="1" applyAlignment="1" pivotButton="0" quotePrefix="0" xfId="0">
      <alignment vertical="center"/>
    </xf>
    <xf numFmtId="0" fontId="10" fillId="9" borderId="1" applyAlignment="1" pivotButton="0" quotePrefix="0" xfId="0">
      <alignment vertical="center"/>
    </xf>
    <xf numFmtId="0" fontId="3" fillId="9" borderId="26" applyAlignment="1" pivotButton="0" quotePrefix="0" xfId="0">
      <alignment horizontal="center" vertical="center"/>
    </xf>
    <xf numFmtId="0" fontId="4" fillId="9" borderId="32" applyAlignment="1" pivotButton="0" quotePrefix="0" xfId="0">
      <alignment horizontal="center" vertical="center"/>
    </xf>
    <xf numFmtId="0" fontId="2" fillId="9" borderId="18" applyAlignment="1" pivotButton="0" quotePrefix="0" xfId="0">
      <alignment horizontal="center" vertical="center" wrapText="1"/>
    </xf>
    <xf numFmtId="0" fontId="4" fillId="9" borderId="21" applyAlignment="1" pivotButton="0" quotePrefix="0" xfId="0">
      <alignment horizontal="center" vertical="center"/>
    </xf>
    <xf numFmtId="0" fontId="3" fillId="9" borderId="21" applyAlignment="1" pivotButton="0" quotePrefix="0" xfId="0">
      <alignment horizontal="center" vertical="center"/>
    </xf>
    <xf numFmtId="0" fontId="2" fillId="9" borderId="38" applyAlignment="1" pivotButton="0" quotePrefix="0" xfId="0">
      <alignment horizontal="center" vertical="center"/>
    </xf>
    <xf numFmtId="0" fontId="0" fillId="9" borderId="28" pivotButton="0" quotePrefix="0" xfId="0"/>
    <xf numFmtId="0" fontId="2" fillId="9" borderId="41" applyAlignment="1" pivotButton="0" quotePrefix="0" xfId="0">
      <alignment horizontal="center" vertical="center"/>
    </xf>
    <xf numFmtId="0" fontId="3" fillId="9" borderId="41" applyAlignment="1" pivotButton="0" quotePrefix="0" xfId="0">
      <alignment horizontal="center" vertical="center"/>
    </xf>
    <xf numFmtId="164" fontId="2" fillId="9" borderId="41" applyAlignment="1" pivotButton="0" quotePrefix="0" xfId="0">
      <alignment horizontal="center" vertical="center"/>
    </xf>
    <xf numFmtId="164" fontId="11" fillId="9" borderId="1" applyAlignment="1" pivotButton="0" quotePrefix="0" xfId="0">
      <alignment vertical="center"/>
    </xf>
    <xf numFmtId="0" fontId="27" fillId="9" borderId="11" applyAlignment="1" pivotButton="0" quotePrefix="0" xfId="0">
      <alignment horizontal="right" vertical="top"/>
    </xf>
    <xf numFmtId="0" fontId="28" fillId="9" borderId="11" applyAlignment="1" pivotButton="0" quotePrefix="0" xfId="0">
      <alignment horizontal="right" vertical="top" wrapText="1"/>
    </xf>
    <xf numFmtId="3" fontId="28" fillId="9" borderId="11" applyAlignment="1" pivotButton="0" quotePrefix="0" xfId="0">
      <alignment horizontal="right" vertical="top" wrapText="1"/>
    </xf>
    <xf numFmtId="10" fontId="28" fillId="9" borderId="11" applyAlignment="1" pivotButton="0" quotePrefix="0" xfId="0">
      <alignment horizontal="right" vertical="top" wrapText="1"/>
    </xf>
    <xf numFmtId="9" fontId="28" fillId="9" borderId="11" applyAlignment="1" pivotButton="0" quotePrefix="0" xfId="0">
      <alignment horizontal="right" vertical="top" wrapText="1"/>
    </xf>
    <xf numFmtId="0" fontId="27" fillId="9" borderId="11" applyAlignment="1" pivotButton="0" quotePrefix="0" xfId="0">
      <alignment horizontal="center" vertical="top"/>
    </xf>
    <xf numFmtId="0" fontId="28" fillId="9" borderId="11" applyAlignment="1" pivotButton="0" quotePrefix="0" xfId="0">
      <alignment horizontal="center" vertical="top" wrapText="1"/>
    </xf>
    <xf numFmtId="0" fontId="26" fillId="9" borderId="0" applyAlignment="1" pivotButton="0" quotePrefix="0" xfId="0">
      <alignment horizontal="center" vertical="center" wrapText="1"/>
    </xf>
    <xf numFmtId="0" fontId="20" fillId="0" borderId="30" applyAlignment="1" pivotButton="0" quotePrefix="0" xfId="0">
      <alignment horizontal="center" vertical="center"/>
    </xf>
    <xf numFmtId="0" fontId="19" fillId="11" borderId="36" applyAlignment="1" pivotButton="0" quotePrefix="0" xfId="0">
      <alignment horizontal="center" vertical="center"/>
    </xf>
    <xf numFmtId="0" fontId="0" fillId="9" borderId="42" pivotButton="0" quotePrefix="0" xfId="0"/>
    <xf numFmtId="0" fontId="0" fillId="9" borderId="5" pivotButton="0" quotePrefix="0" xfId="0"/>
    <xf numFmtId="0" fontId="0" fillId="9" borderId="43" pivotButton="0" quotePrefix="0" xfId="0"/>
    <xf numFmtId="0" fontId="0" fillId="9" borderId="44" pivotButton="0" quotePrefix="0" xfId="0"/>
    <xf numFmtId="0" fontId="0" fillId="9" borderId="45" pivotButton="0" quotePrefix="0" xfId="0"/>
    <xf numFmtId="0" fontId="0" fillId="9" borderId="10" pivotButton="0" quotePrefix="0" xfId="0"/>
    <xf numFmtId="0" fontId="15" fillId="8" borderId="8" applyAlignment="1" pivotButton="0" quotePrefix="0" xfId="0">
      <alignment horizontal="left" vertical="center"/>
    </xf>
    <xf numFmtId="0" fontId="16" fillId="8" borderId="9" pivotButton="0" quotePrefix="0" xfId="0"/>
    <xf numFmtId="0" fontId="17" fillId="8" borderId="10" applyAlignment="1" pivotButton="0" quotePrefix="0" xfId="0">
      <alignment horizontal="left" vertical="center"/>
    </xf>
    <xf numFmtId="0" fontId="7" fillId="4" borderId="46" applyAlignment="1" pivotButton="0" quotePrefix="0" xfId="0">
      <alignment horizontal="center" vertical="center" wrapText="1"/>
    </xf>
    <xf numFmtId="164" fontId="3" fillId="9" borderId="33" applyAlignment="1" pivotButton="0" quotePrefix="0" xfId="0">
      <alignment horizontal="center" vertical="center"/>
    </xf>
    <xf numFmtId="164" fontId="3" fillId="9" borderId="33" applyAlignment="1" pivotButton="0" quotePrefix="0" xfId="0">
      <alignment vertical="center"/>
    </xf>
    <xf numFmtId="164" fontId="2" fillId="3" borderId="39" applyAlignment="1" pivotButton="0" quotePrefix="0" xfId="0">
      <alignment horizontal="center" vertical="center"/>
    </xf>
    <xf numFmtId="164" fontId="2" fillId="9" borderId="47" applyAlignment="1" pivotButton="0" quotePrefix="0" xfId="0">
      <alignment horizontal="center" vertical="center"/>
    </xf>
    <xf numFmtId="164" fontId="11" fillId="9" borderId="33" applyAlignment="1" pivotButton="0" quotePrefix="0" xfId="0">
      <alignment horizontal="center" vertical="center"/>
    </xf>
    <xf numFmtId="164" fontId="11" fillId="9" borderId="33" applyAlignment="1" pivotButton="0" quotePrefix="0" xfId="0">
      <alignment vertical="center"/>
    </xf>
    <xf numFmtId="164" fontId="7" fillId="2" borderId="48" applyAlignment="1" pivotButton="0" quotePrefix="0" xfId="0">
      <alignment horizontal="center" vertical="center"/>
    </xf>
    <xf numFmtId="0" fontId="3" fillId="9" borderId="33" applyAlignment="1" pivotButton="0" quotePrefix="0" xfId="0">
      <alignment horizontal="center" vertical="center"/>
    </xf>
    <xf numFmtId="0" fontId="3" fillId="9" borderId="39" applyAlignment="1" pivotButton="0" quotePrefix="0" xfId="0">
      <alignment horizontal="center" vertical="center"/>
    </xf>
    <xf numFmtId="9" fontId="0" fillId="9" borderId="0" pivotButton="0" quotePrefix="0" xfId="0"/>
    <xf numFmtId="0" fontId="19" fillId="14" borderId="0" applyAlignment="1" pivotButton="0" quotePrefix="0" xfId="0">
      <alignment horizontal="center" vertical="center" wrapText="1"/>
    </xf>
    <xf numFmtId="0" fontId="7" fillId="5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4" fontId="19" fillId="11" borderId="0" applyAlignment="1" pivotButton="0" quotePrefix="0" xfId="0">
      <alignment horizontal="center" vertical="center"/>
    </xf>
    <xf numFmtId="164" fontId="2" fillId="9" borderId="0" applyAlignment="1" pivotButton="0" quotePrefix="0" xfId="0">
      <alignment horizontal="center" vertical="center"/>
    </xf>
    <xf numFmtId="164" fontId="2" fillId="9" borderId="0" applyAlignment="1" pivotButton="0" quotePrefix="0" xfId="0">
      <alignment vertical="center"/>
    </xf>
    <xf numFmtId="164" fontId="2" fillId="3" borderId="0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164" fontId="8" fillId="9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7" fillId="2" borderId="54" applyAlignment="1" pivotButton="0" quotePrefix="0" xfId="0">
      <alignment horizontal="center" vertical="center" wrapText="1"/>
    </xf>
    <xf numFmtId="0" fontId="7" fillId="2" borderId="55" applyAlignment="1" pivotButton="0" quotePrefix="0" xfId="0">
      <alignment horizontal="center" vertical="center" wrapText="1"/>
    </xf>
    <xf numFmtId="0" fontId="2" fillId="3" borderId="55" applyAlignment="1" pivotButton="0" quotePrefix="0" xfId="0">
      <alignment horizontal="center" vertical="center" wrapText="1"/>
    </xf>
    <xf numFmtId="0" fontId="7" fillId="4" borderId="55" applyAlignment="1" pivotButton="0" quotePrefix="0" xfId="0">
      <alignment horizontal="center" vertical="center" wrapText="1"/>
    </xf>
    <xf numFmtId="0" fontId="7" fillId="18" borderId="55" applyAlignment="1" pivotButton="0" quotePrefix="0" xfId="0">
      <alignment horizontal="center" vertical="center" wrapText="1"/>
    </xf>
    <xf numFmtId="0" fontId="7" fillId="17" borderId="55" applyAlignment="1" pivotButton="0" quotePrefix="0" xfId="0">
      <alignment horizontal="center" vertical="center" wrapText="1"/>
    </xf>
    <xf numFmtId="0" fontId="7" fillId="16" borderId="56" applyAlignment="1" pivotButton="0" quotePrefix="0" xfId="0">
      <alignment horizontal="center" vertical="center" wrapText="1"/>
    </xf>
    <xf numFmtId="0" fontId="21" fillId="0" borderId="49" applyAlignment="1" pivotButton="0" quotePrefix="0" xfId="0">
      <alignment horizontal="center" vertical="center" wrapText="1"/>
    </xf>
    <xf numFmtId="0" fontId="22" fillId="0" borderId="50" applyAlignment="1" pivotButton="0" quotePrefix="0" xfId="0">
      <alignment horizontal="center" vertical="center"/>
    </xf>
    <xf numFmtId="0" fontId="21" fillId="0" borderId="50" applyAlignment="1" pivotButton="0" quotePrefix="0" xfId="0">
      <alignment horizontal="center" vertical="center"/>
    </xf>
    <xf numFmtId="164" fontId="22" fillId="0" borderId="50" applyAlignment="1" pivotButton="0" quotePrefix="0" xfId="0">
      <alignment horizontal="center" vertical="center"/>
    </xf>
    <xf numFmtId="164" fontId="22" fillId="0" borderId="51" applyAlignment="1" pivotButton="0" quotePrefix="0" xfId="0">
      <alignment horizontal="center" vertical="center"/>
    </xf>
    <xf numFmtId="0" fontId="21" fillId="0" borderId="24" applyAlignment="1" pivotButton="0" quotePrefix="0" xfId="0">
      <alignment horizontal="left" vertical="center"/>
    </xf>
    <xf numFmtId="0" fontId="7" fillId="0" borderId="24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 wrapText="1"/>
    </xf>
    <xf numFmtId="0" fontId="7" fillId="4" borderId="24" applyAlignment="1" pivotButton="0" quotePrefix="0" xfId="0">
      <alignment horizontal="center" vertical="center" wrapText="1"/>
    </xf>
    <xf numFmtId="0" fontId="7" fillId="18" borderId="24" applyAlignment="1" pivotButton="0" quotePrefix="0" xfId="0">
      <alignment horizontal="center" vertical="center" wrapText="1"/>
    </xf>
    <xf numFmtId="0" fontId="7" fillId="17" borderId="24" applyAlignment="1" pivotButton="0" quotePrefix="0" xfId="0">
      <alignment horizontal="center" vertical="center" wrapText="1"/>
    </xf>
    <xf numFmtId="0" fontId="7" fillId="16" borderId="24" applyAlignment="1" pivotButton="0" quotePrefix="0" xfId="0">
      <alignment horizontal="center" vertical="center" wrapText="1"/>
    </xf>
    <xf numFmtId="0" fontId="7" fillId="5" borderId="24" applyAlignment="1" pivotButton="0" quotePrefix="0" xfId="0">
      <alignment horizontal="center" vertical="center" wrapText="1"/>
    </xf>
    <xf numFmtId="0" fontId="18" fillId="10" borderId="15" applyAlignment="1" pivotButton="0" quotePrefix="0" xfId="0">
      <alignment vertical="center"/>
    </xf>
    <xf numFmtId="0" fontId="0" fillId="9" borderId="27" pivotButton="0" quotePrefix="0" xfId="0"/>
    <xf numFmtId="0" fontId="18" fillId="10" borderId="23" applyAlignment="1" pivotButton="0" quotePrefix="0" xfId="0">
      <alignment vertical="center"/>
    </xf>
    <xf numFmtId="0" fontId="0" fillId="9" borderId="24" pivotButton="0" quotePrefix="0" xfId="0"/>
    <xf numFmtId="0" fontId="25" fillId="6" borderId="40" applyAlignment="1" pivotButton="0" quotePrefix="0" xfId="0">
      <alignment vertical="center"/>
    </xf>
    <xf numFmtId="0" fontId="8" fillId="6" borderId="22" applyAlignment="1" pivotButton="0" quotePrefix="0" xfId="0">
      <alignment vertical="center"/>
    </xf>
    <xf numFmtId="0" fontId="7" fillId="11" borderId="17" applyAlignment="1" pivotButton="0" quotePrefix="0" xfId="0">
      <alignment vertical="center" wrapText="1"/>
    </xf>
    <xf numFmtId="0" fontId="19" fillId="11" borderId="32" applyAlignment="1" pivotButton="0" quotePrefix="0" xfId="0">
      <alignment vertical="center" wrapText="1"/>
    </xf>
    <xf numFmtId="0" fontId="20" fillId="12" borderId="32" applyAlignment="1" pivotButton="0" quotePrefix="0" xfId="0">
      <alignment vertical="center" wrapText="1"/>
    </xf>
    <xf numFmtId="0" fontId="19" fillId="13" borderId="32" applyAlignment="1" pivotButton="0" quotePrefix="0" xfId="0">
      <alignment vertical="center" wrapText="1"/>
    </xf>
    <xf numFmtId="0" fontId="19" fillId="13" borderId="33" applyAlignment="1" pivotButton="0" quotePrefix="0" xfId="0">
      <alignment vertical="center" wrapText="1"/>
    </xf>
    <xf numFmtId="164" fontId="15" fillId="11" borderId="3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164" fontId="7" fillId="11" borderId="32" applyAlignment="1" pivotButton="0" quotePrefix="1" xfId="0">
      <alignment horizontal="center" vertical="center"/>
    </xf>
    <xf numFmtId="165" fontId="22" fillId="0" borderId="32" applyAlignment="1" pivotButton="0" quotePrefix="0" xfId="1">
      <alignment horizontal="right" vertical="center"/>
    </xf>
    <xf numFmtId="165" fontId="22" fillId="0" borderId="51" applyAlignment="1" pivotButton="0" quotePrefix="0" xfId="1">
      <alignment horizontal="right" vertical="center"/>
    </xf>
    <xf numFmtId="165" fontId="22" fillId="0" borderId="33" applyAlignment="1" pivotButton="0" quotePrefix="0" xfId="1">
      <alignment horizontal="right" vertical="center"/>
    </xf>
    <xf numFmtId="164" fontId="21" fillId="15" borderId="0" applyAlignment="1" pivotButton="0" quotePrefix="0" xfId="0">
      <alignment horizontal="center" vertical="center"/>
    </xf>
    <xf numFmtId="164" fontId="21" fillId="15" borderId="0" applyAlignment="1" pivotButton="0" quotePrefix="0" xfId="0">
      <alignment vertical="center"/>
    </xf>
    <xf numFmtId="0" fontId="7" fillId="19" borderId="56" applyAlignment="1" pivotButton="0" quotePrefix="0" xfId="0">
      <alignment horizontal="center" vertical="center" wrapText="1"/>
    </xf>
    <xf numFmtId="0" fontId="7" fillId="19" borderId="24" applyAlignment="1" pivotButton="0" quotePrefix="0" xfId="0">
      <alignment horizontal="center" vertical="center" wrapText="1"/>
    </xf>
    <xf numFmtId="0" fontId="30" fillId="9" borderId="0" pivotButton="0" quotePrefix="0" xfId="0"/>
    <xf numFmtId="0" fontId="30" fillId="9" borderId="0" applyAlignment="1" pivotButton="0" quotePrefix="0" xfId="0">
      <alignment horizontal="center"/>
    </xf>
    <xf numFmtId="0" fontId="7" fillId="11" borderId="32" applyAlignment="1" pivotButton="0" quotePrefix="0" xfId="0">
      <alignment horizontal="center" vertical="center"/>
    </xf>
    <xf numFmtId="10" fontId="7" fillId="16" borderId="33" applyAlignment="1" pivotButton="0" quotePrefix="0" xfId="1">
      <alignment horizontal="right" vertical="center"/>
    </xf>
    <xf numFmtId="164" fontId="7" fillId="14" borderId="0" applyAlignment="1" pivotButton="0" quotePrefix="0" xfId="0">
      <alignment horizontal="center" vertical="center"/>
    </xf>
    <xf numFmtId="165" fontId="4" fillId="11" borderId="32" applyAlignment="1" pivotButton="0" quotePrefix="0" xfId="1">
      <alignment horizontal="right" vertical="center"/>
    </xf>
    <xf numFmtId="164" fontId="4" fillId="11" borderId="32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19" pivotButton="0" quotePrefix="0" xfId="0"/>
    <xf numFmtId="0" fontId="0" fillId="0" borderId="20" pivotButton="0" quotePrefix="0" xfId="0"/>
    <xf numFmtId="0" fontId="23" fillId="0" borderId="33" applyAlignment="1" pivotButton="0" quotePrefix="0" xfId="0">
      <alignment horizontal="center" vertical="center"/>
    </xf>
    <xf numFmtId="0" fontId="23" fillId="0" borderId="2" applyAlignment="1" pivotButton="0" quotePrefix="0" xfId="0">
      <alignment horizontal="center" vertical="center"/>
    </xf>
    <xf numFmtId="0" fontId="23" fillId="0" borderId="3" applyAlignment="1" pivotButton="0" quotePrefix="0" xfId="0">
      <alignment horizontal="center" vertical="center"/>
    </xf>
    <xf numFmtId="0" fontId="2" fillId="9" borderId="17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 vertical="center"/>
    </xf>
    <xf numFmtId="164" fontId="3" fillId="9" borderId="1" applyAlignment="1" pivotButton="0" quotePrefix="0" xfId="0">
      <alignment horizontal="center" vertical="center"/>
    </xf>
    <xf numFmtId="164" fontId="3" fillId="9" borderId="32" applyAlignment="1" pivotButton="0" quotePrefix="0" xfId="0">
      <alignment horizontal="center" vertical="center"/>
    </xf>
    <xf numFmtId="164" fontId="3" fillId="9" borderId="33" applyAlignment="1" pivotButton="0" quotePrefix="0" xfId="0">
      <alignment horizontal="center" vertical="center"/>
    </xf>
    <xf numFmtId="0" fontId="7" fillId="11" borderId="17" applyAlignment="1" pivotButton="0" quotePrefix="0" xfId="0">
      <alignment horizontal="right" vertical="center"/>
    </xf>
    <xf numFmtId="0" fontId="30" fillId="9" borderId="0" applyAlignment="1" pivotButton="0" quotePrefix="0" xfId="0">
      <alignment horizontal="center"/>
    </xf>
    <xf numFmtId="0" fontId="30" fillId="9" borderId="0" pivotButton="0" quotePrefix="0" xfId="0"/>
    <xf numFmtId="0" fontId="20" fillId="0" borderId="30" applyAlignment="1" pivotButton="0" quotePrefix="0" xfId="0">
      <alignment horizontal="center" vertical="center"/>
    </xf>
    <xf numFmtId="0" fontId="20" fillId="0" borderId="31" applyAlignment="1" pivotButton="0" quotePrefix="0" xfId="0">
      <alignment horizontal="center" vertical="center"/>
    </xf>
    <xf numFmtId="0" fontId="19" fillId="11" borderId="36" applyAlignment="1" pivotButton="0" quotePrefix="0" xfId="0">
      <alignment horizontal="center" vertical="center"/>
    </xf>
    <xf numFmtId="0" fontId="19" fillId="11" borderId="37" applyAlignment="1" pivotButton="0" quotePrefix="0" xfId="0">
      <alignment horizontal="center" vertical="center"/>
    </xf>
    <xf numFmtId="0" fontId="23" fillId="0" borderId="51" applyAlignment="1" pivotButton="0" quotePrefix="0" xfId="0">
      <alignment horizontal="center" vertical="center"/>
    </xf>
    <xf numFmtId="0" fontId="23" fillId="0" borderId="52" applyAlignment="1" pivotButton="0" quotePrefix="0" xfId="0">
      <alignment horizontal="center" vertical="center"/>
    </xf>
    <xf numFmtId="0" fontId="23" fillId="0" borderId="53" applyAlignment="1" pivotButton="0" quotePrefix="0" xfId="0">
      <alignment horizontal="center" vertical="center"/>
    </xf>
    <xf numFmtId="0" fontId="3" fillId="9" borderId="33" applyAlignment="1" pivotButton="0" quotePrefix="0" xfId="0">
      <alignment horizontal="left" vertical="center" wrapText="1"/>
    </xf>
    <xf numFmtId="0" fontId="3" fillId="9" borderId="2" applyAlignment="1" pivotButton="0" quotePrefix="0" xfId="0">
      <alignment horizontal="left" vertical="center" wrapText="1"/>
    </xf>
    <xf numFmtId="0" fontId="3" fillId="9" borderId="3" applyAlignment="1" pivotButton="0" quotePrefix="0" xfId="0">
      <alignment horizontal="left" vertical="center" wrapText="1"/>
    </xf>
    <xf numFmtId="0" fontId="3" fillId="9" borderId="39" applyAlignment="1" pivotButton="0" quotePrefix="0" xfId="0">
      <alignment horizontal="left" vertical="center" wrapText="1"/>
    </xf>
    <xf numFmtId="0" fontId="3" fillId="9" borderId="19" applyAlignment="1" pivotButton="0" quotePrefix="0" xfId="0">
      <alignment horizontal="left" vertical="center" wrapText="1"/>
    </xf>
    <xf numFmtId="0" fontId="3" fillId="9" borderId="20" applyAlignment="1" pivotButton="0" quotePrefix="0" xfId="0">
      <alignment horizontal="left" vertical="center" wrapText="1"/>
    </xf>
    <xf numFmtId="0" fontId="14" fillId="8" borderId="4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" fillId="9" borderId="1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8" pivotButton="0" quotePrefix="0" xfId="0"/>
    <xf numFmtId="0" fontId="2" fillId="9" borderId="8" applyAlignment="1" pivotButton="0" quotePrefix="0" xfId="0">
      <alignment horizontal="left" vertical="center"/>
    </xf>
    <xf numFmtId="0" fontId="2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31" fillId="0" borderId="58" pivotButton="0" quotePrefix="0" xfId="0"/>
    <xf numFmtId="0" fontId="32" fillId="20" borderId="58" applyAlignment="1" pivotButton="0" quotePrefix="0" xfId="0">
      <alignment horizontal="left" vertical="center"/>
    </xf>
    <xf numFmtId="0" fontId="33" fillId="0" borderId="58" applyAlignment="1" pivotButton="0" quotePrefix="0" xfId="0">
      <alignment horizontal="left" vertical="center"/>
    </xf>
    <xf numFmtId="0" fontId="34" fillId="0" borderId="58" applyAlignment="1" pivotButton="0" quotePrefix="0" xfId="0">
      <alignment horizontal="left" vertical="center" wrapText="1"/>
    </xf>
    <xf numFmtId="0" fontId="23" fillId="0" borderId="50" applyAlignment="1" pivotButton="0" quotePrefix="0" xfId="0">
      <alignment horizontal="center" vertical="center"/>
    </xf>
    <xf numFmtId="0" fontId="0" fillId="0" borderId="52" pivotButton="0" quotePrefix="0" xfId="0"/>
    <xf numFmtId="0" fontId="0" fillId="0" borderId="53" pivotButton="0" quotePrefix="0" xfId="0"/>
    <xf numFmtId="164" fontId="22" fillId="0" borderId="50" applyAlignment="1" pivotButton="0" quotePrefix="0" xfId="0">
      <alignment horizontal="center" vertical="center"/>
    </xf>
    <xf numFmtId="165" fontId="22" fillId="0" borderId="32" applyAlignment="1" pivotButton="0" quotePrefix="0" xfId="1">
      <alignment horizontal="right" vertical="center"/>
    </xf>
    <xf numFmtId="165" fontId="22" fillId="0" borderId="51" applyAlignment="1" pivotButton="0" quotePrefix="0" xfId="1">
      <alignment horizontal="right" vertical="center"/>
    </xf>
    <xf numFmtId="164" fontId="22" fillId="0" borderId="51" applyAlignment="1" pivotButton="0" quotePrefix="0" xfId="0">
      <alignment horizontal="center" vertical="center"/>
    </xf>
    <xf numFmtId="164" fontId="21" fillId="15" borderId="0" applyAlignment="1" pivotButton="0" quotePrefix="0" xfId="0">
      <alignment horizontal="center" vertical="center"/>
    </xf>
    <xf numFmtId="0" fontId="23" fillId="0" borderId="32" applyAlignment="1" pivotButton="0" quotePrefix="0" xfId="0">
      <alignment horizontal="center" vertical="center"/>
    </xf>
    <xf numFmtId="0" fontId="0" fillId="0" borderId="3" pivotButton="0" quotePrefix="0" xfId="0"/>
    <xf numFmtId="164" fontId="22" fillId="0" borderId="32" applyAlignment="1" pivotButton="0" quotePrefix="0" xfId="0">
      <alignment horizontal="center" vertical="center"/>
    </xf>
    <xf numFmtId="165" fontId="22" fillId="0" borderId="33" applyAlignment="1" pivotButton="0" quotePrefix="0" xfId="1">
      <alignment horizontal="right" vertical="center"/>
    </xf>
    <xf numFmtId="164" fontId="22" fillId="0" borderId="32" applyAlignment="1" pivotButton="0" quotePrefix="0" xfId="0">
      <alignment vertical="center"/>
    </xf>
    <xf numFmtId="164" fontId="21" fillId="15" borderId="0" applyAlignment="1" pivotButton="0" quotePrefix="0" xfId="0">
      <alignment vertical="center"/>
    </xf>
    <xf numFmtId="164" fontId="15" fillId="11" borderId="32" applyAlignment="1" pivotButton="0" quotePrefix="0" xfId="0">
      <alignment horizontal="center" vertical="center"/>
    </xf>
    <xf numFmtId="165" fontId="4" fillId="11" borderId="32" applyAlignment="1" pivotButton="0" quotePrefix="0" xfId="1">
      <alignment horizontal="right" vertical="center"/>
    </xf>
    <xf numFmtId="164" fontId="7" fillId="11" borderId="32" applyAlignment="1" pivotButton="0" quotePrefix="1" xfId="0">
      <alignment horizontal="center" vertical="center"/>
    </xf>
    <xf numFmtId="164" fontId="4" fillId="11" borderId="32" applyAlignment="1" pivotButton="0" quotePrefix="0" xfId="0">
      <alignment horizontal="center" vertical="center"/>
    </xf>
    <xf numFmtId="164" fontId="7" fillId="14" borderId="0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1" pivotButton="0" quotePrefix="0" xfId="0"/>
    <xf numFmtId="164" fontId="20" fillId="0" borderId="0" applyAlignment="1" pivotButton="0" quotePrefix="0" xfId="0">
      <alignment horizontal="center" vertical="center"/>
    </xf>
    <xf numFmtId="0" fontId="0" fillId="0" borderId="36" pivotButton="0" quotePrefix="0" xfId="0"/>
    <xf numFmtId="0" fontId="0" fillId="0" borderId="37" pivotButton="0" quotePrefix="0" xfId="0"/>
    <xf numFmtId="164" fontId="19" fillId="11" borderId="0" applyAlignment="1" pivotButton="0" quotePrefix="0" xfId="0">
      <alignment horizontal="center" vertical="center"/>
    </xf>
    <xf numFmtId="164" fontId="3" fillId="9" borderId="32" applyAlignment="1" pivotButton="0" quotePrefix="0" xfId="0">
      <alignment horizontal="center" vertical="center"/>
    </xf>
    <xf numFmtId="164" fontId="3" fillId="9" borderId="33" applyAlignment="1" pivotButton="0" quotePrefix="0" xfId="0">
      <alignment horizontal="center" vertical="center"/>
    </xf>
    <xf numFmtId="164" fontId="2" fillId="9" borderId="0" applyAlignment="1" pivotButton="0" quotePrefix="0" xfId="0">
      <alignment horizontal="center" vertical="center"/>
    </xf>
    <xf numFmtId="164" fontId="3" fillId="9" borderId="32" applyAlignment="1" pivotButton="0" quotePrefix="0" xfId="0">
      <alignment vertical="center"/>
    </xf>
    <xf numFmtId="164" fontId="3" fillId="9" borderId="33" applyAlignment="1" pivotButton="0" quotePrefix="0" xfId="0">
      <alignment vertical="center"/>
    </xf>
    <xf numFmtId="164" fontId="2" fillId="9" borderId="0" applyAlignment="1" pivotButton="0" quotePrefix="0" xfId="0">
      <alignment vertical="center"/>
    </xf>
    <xf numFmtId="164" fontId="2" fillId="3" borderId="21" applyAlignment="1" pivotButton="0" quotePrefix="0" xfId="0">
      <alignment horizontal="center" vertical="center"/>
    </xf>
    <xf numFmtId="164" fontId="2" fillId="3" borderId="39" applyAlignment="1" pivotButton="0" quotePrefix="0" xfId="0">
      <alignment horizontal="center" vertical="center"/>
    </xf>
    <xf numFmtId="164" fontId="2" fillId="3" borderId="0" applyAlignment="1" pivotButton="0" quotePrefix="0" xfId="0">
      <alignment horizontal="center" vertical="center"/>
    </xf>
    <xf numFmtId="164" fontId="2" fillId="9" borderId="41" applyAlignment="1" pivotButton="0" quotePrefix="0" xfId="0">
      <alignment horizontal="center" vertical="center"/>
    </xf>
    <xf numFmtId="164" fontId="2" fillId="9" borderId="47" applyAlignment="1" pivotButton="0" quotePrefix="0" xfId="0">
      <alignment horizontal="center" vertical="center"/>
    </xf>
    <xf numFmtId="164" fontId="3" fillId="9" borderId="1" applyAlignment="1" pivotButton="0" quotePrefix="0" xfId="0">
      <alignment horizontal="center" vertical="center"/>
    </xf>
    <xf numFmtId="164" fontId="3" fillId="9" borderId="1" applyAlignment="1" pivotButton="0" quotePrefix="0" xfId="0">
      <alignment vertical="center"/>
    </xf>
    <xf numFmtId="164" fontId="11" fillId="9" borderId="1" applyAlignment="1" pivotButton="0" quotePrefix="0" xfId="0">
      <alignment horizontal="center" vertical="center"/>
    </xf>
    <xf numFmtId="164" fontId="11" fillId="9" borderId="33" applyAlignment="1" pivotButton="0" quotePrefix="0" xfId="0">
      <alignment horizontal="center" vertical="center"/>
    </xf>
    <xf numFmtId="164" fontId="11" fillId="9" borderId="1" applyAlignment="1" pivotButton="0" quotePrefix="0" xfId="0">
      <alignment vertical="center"/>
    </xf>
    <xf numFmtId="164" fontId="11" fillId="9" borderId="33" applyAlignment="1" pivotButton="0" quotePrefix="0" xfId="0">
      <alignment vertical="center"/>
    </xf>
    <xf numFmtId="164" fontId="7" fillId="2" borderId="26" applyAlignment="1" pivotButton="0" quotePrefix="0" xfId="0">
      <alignment horizontal="center" vertical="center"/>
    </xf>
    <xf numFmtId="164" fontId="7" fillId="2" borderId="48" applyAlignment="1" pivotButton="0" quotePrefix="0" xfId="0">
      <alignment horizontal="center" vertical="center"/>
    </xf>
    <xf numFmtId="164" fontId="7" fillId="5" borderId="0" applyAlignment="1" pivotButton="0" quotePrefix="0" xfId="0">
      <alignment horizontal="center" vertical="center"/>
    </xf>
    <xf numFmtId="0" fontId="3" fillId="9" borderId="32" applyAlignment="1" pivotButton="0" quotePrefix="0" xfId="0">
      <alignment horizontal="left" vertical="center" wrapText="1"/>
    </xf>
    <xf numFmtId="164" fontId="8" fillId="9" borderId="0" applyAlignment="1" pivotButton="0" quotePrefix="0" xfId="0">
      <alignment horizontal="center" vertical="center"/>
    </xf>
    <xf numFmtId="0" fontId="3" fillId="9" borderId="21" applyAlignment="1" pivotButton="0" quotePrefix="0" xfId="0">
      <alignment horizontal="left" vertical="center" wrapText="1"/>
    </xf>
    <xf numFmtId="0" fontId="35" fillId="0" borderId="58" applyAlignment="1" pivotButton="0" quotePrefix="0" xfId="0">
      <alignment horizontal="center" vertical="center"/>
    </xf>
    <xf numFmtId="0" fontId="36" fillId="21" borderId="59" applyAlignment="1" pivotButton="0" quotePrefix="0" xfId="0">
      <alignment horizontal="center" vertical="center" wrapText="1"/>
    </xf>
    <xf numFmtId="0" fontId="33" fillId="22" borderId="59" applyAlignment="1" pivotButton="0" quotePrefix="0" xfId="0">
      <alignment horizontal="left" vertical="center"/>
    </xf>
    <xf numFmtId="0" fontId="37" fillId="0" borderId="59" applyAlignment="1" pivotButton="0" quotePrefix="0" xfId="0">
      <alignment horizontal="left" vertical="center"/>
    </xf>
    <xf numFmtId="166" fontId="37" fillId="0" borderId="59" applyAlignment="1" pivotButton="0" quotePrefix="0" xfId="0">
      <alignment horizontal="center" vertical="center"/>
    </xf>
    <xf numFmtId="0" fontId="34" fillId="0" borderId="59" applyAlignment="1" pivotButton="0" quotePrefix="0" xfId="0">
      <alignment horizontal="center" vertical="center"/>
    </xf>
    <xf numFmtId="0" fontId="38" fillId="0" borderId="59" applyAlignment="1" pivotButton="0" quotePrefix="0" xfId="0">
      <alignment horizontal="center" vertical="center"/>
    </xf>
    <xf numFmtId="166" fontId="38" fillId="0" borderId="59" applyAlignment="1" pivotButton="0" quotePrefix="0" xfId="0">
      <alignment horizontal="center" vertical="center"/>
    </xf>
    <xf numFmtId="0" fontId="38" fillId="23" borderId="59" applyAlignment="1" pivotButton="0" quotePrefix="0" xfId="0">
      <alignment horizontal="right" vertical="center"/>
    </xf>
    <xf numFmtId="0" fontId="34" fillId="23" borderId="59" applyAlignment="1" pivotButton="0" quotePrefix="0" xfId="0">
      <alignment horizontal="center" vertical="center"/>
    </xf>
    <xf numFmtId="0" fontId="38" fillId="23" borderId="59" applyAlignment="1" pivotButton="0" quotePrefix="0" xfId="0">
      <alignment horizontal="center" vertical="center"/>
    </xf>
    <xf numFmtId="0" fontId="36" fillId="21" borderId="59" applyAlignment="1" pivotButton="0" quotePrefix="0" xfId="0">
      <alignment horizontal="right" vertical="center"/>
    </xf>
    <xf numFmtId="166" fontId="36" fillId="20" borderId="59" applyAlignment="1" pivotButton="0" quotePrefix="0" xfId="0">
      <alignment horizontal="center" vertical="center"/>
    </xf>
  </cellXfs>
  <cellStyles count="2">
    <cellStyle name="표준" xfId="0" builtinId="0"/>
    <cellStyle name="백분율" xfId="1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10</col>
      <colOff>17482</colOff>
      <row>0</row>
      <rowOff>4482</rowOff>
    </from>
    <to>
      <col>14</col>
      <colOff>19858</colOff>
      <row>4</row>
      <rowOff>93911</rowOff>
    </to>
    <pic>
      <nvPicPr>
        <cNvPr id="2" name="그림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14125688" y="4482"/>
          <a:ext cx="3412550" cy="8702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E17" sqref="E17"/>
    </sheetView>
  </sheetViews>
  <sheetFormatPr baseColWidth="8" defaultRowHeight="17.4"/>
  <cols>
    <col width="2.5" customWidth="1" style="5" min="1" max="1"/>
    <col width="2" customWidth="1" style="5" min="2" max="2"/>
    <col width="16" customWidth="1" style="5" min="3" max="3"/>
    <col width="2" customWidth="1" style="5" min="4" max="4"/>
    <col width="118" customWidth="1" style="5" min="5" max="5"/>
    <col width="2.19921875" customWidth="1" style="5" min="6" max="6"/>
    <col width="8.796875" customWidth="1" style="5" min="7" max="7"/>
    <col width="8.796875" customWidth="1" style="5" min="8" max="16384"/>
  </cols>
  <sheetData>
    <row r="1" ht="12.6" customHeight="1">
      <c r="A1" s="229" t="n"/>
      <c r="B1" s="229" t="n"/>
      <c r="C1" s="229" t="n"/>
      <c r="D1" s="229" t="n"/>
      <c r="E1" s="229" t="n"/>
      <c r="F1" s="229" t="n"/>
    </row>
    <row r="2" ht="12.6" customHeight="1">
      <c r="A2" s="229" t="n"/>
      <c r="B2" s="229" t="n"/>
      <c r="C2" s="229" t="n"/>
      <c r="D2" s="229" t="n"/>
      <c r="E2" s="229" t="n"/>
      <c r="F2" s="229" t="n"/>
    </row>
    <row r="3" ht="25.2" customHeight="1">
      <c r="A3" s="229" t="n"/>
      <c r="B3" s="229" t="n"/>
      <c r="C3" s="230" t="inlineStr">
        <is>
          <t>BAT  |  견적 제안서</t>
        </is>
      </c>
      <c r="F3" s="229" t="n"/>
    </row>
    <row r="4" ht="25.95" customHeight="1">
      <c r="A4" s="229" t="n"/>
      <c r="B4" s="229" t="n"/>
      <c r="C4" s="229" t="n"/>
      <c r="D4" s="229" t="n"/>
      <c r="E4" s="229" t="n"/>
      <c r="F4" s="229" t="n"/>
    </row>
    <row r="5" ht="6" customHeight="1">
      <c r="A5" s="229" t="n"/>
      <c r="B5" s="229" t="n"/>
      <c r="C5" s="231" t="inlineStr">
        <is>
          <t>· 프로젝트명</t>
        </is>
      </c>
      <c r="D5" s="229" t="n"/>
      <c r="E5" s="232" t="inlineStr">
        <is>
          <t>올리브영 PB 올더베러 브랜드 빌딩 캠페인</t>
        </is>
      </c>
      <c r="F5" s="229" t="n"/>
    </row>
    <row r="6" ht="18" customHeight="1">
      <c r="A6" s="229" t="n"/>
      <c r="B6" s="229" t="n"/>
      <c r="C6" s="229" t="n"/>
      <c r="D6" s="229" t="n"/>
      <c r="E6" s="229" t="n"/>
      <c r="F6" s="229" t="n"/>
    </row>
    <row r="7" ht="6" customHeight="1">
      <c r="A7" s="229" t="n"/>
      <c r="B7" s="229" t="n"/>
      <c r="C7" s="231" t="inlineStr">
        <is>
          <t>· 집행 기간</t>
        </is>
      </c>
      <c r="D7" s="229" t="n"/>
      <c r="E7" s="232" t="inlineStr">
        <is>
          <t>2026년 7월 1일 ~ 2026년 12월 31일 (6개월) · 인플루언서 시딩·바이럴 통합 운영</t>
        </is>
      </c>
      <c r="F7" s="229" t="n"/>
    </row>
    <row r="8" ht="18" customHeight="1">
      <c r="A8" s="229" t="n"/>
      <c r="B8" s="229" t="n"/>
      <c r="C8" s="229" t="n"/>
      <c r="D8" s="229" t="n"/>
      <c r="E8" s="229" t="n"/>
      <c r="F8" s="229" t="n"/>
    </row>
    <row r="9" ht="18" customHeight="1">
      <c r="A9" s="229" t="n"/>
      <c r="B9" s="229" t="n"/>
      <c r="C9" s="231" t="inlineStr">
        <is>
          <t>· 집행 내용</t>
        </is>
      </c>
      <c r="D9" s="229" t="n"/>
      <c r="E9" s="232" t="inlineStr">
        <is>
          <t>① 인플루언서 시딩(나노·마이크로 코어) 중심 진성 UGC 대량 확산</t>
        </is>
      </c>
      <c r="F9" s="229" t="n"/>
    </row>
    <row r="10" ht="18" customHeight="1">
      <c r="A10" s="229" t="n"/>
      <c r="B10" s="229" t="n"/>
      <c r="C10" s="229" t="n"/>
      <c r="D10" s="229" t="n"/>
      <c r="E10" s="232" t="inlineStr">
        <is>
          <t>② BATi 마이크로 앰배서더(10명 × 6회) 다회차 협업으로 고퀄리티 콘텐츠 지속 발행</t>
        </is>
      </c>
      <c r="F10" s="229" t="n"/>
    </row>
    <row r="11" ht="6" customHeight="1">
      <c r="A11" s="229" t="n"/>
      <c r="B11" s="229" t="n"/>
      <c r="C11" s="229" t="n"/>
      <c r="D11" s="229" t="n"/>
      <c r="E11" s="232" t="inlineStr">
        <is>
          <t>③ 바이럴(챌린저스·커뮤니티·파워페이지) + EGC / Half EGC 신뢰 콘텐츠</t>
        </is>
      </c>
      <c r="F11" s="229" t="n"/>
    </row>
    <row r="12" ht="18" customHeight="1">
      <c r="A12" s="229" t="n"/>
      <c r="B12" s="229" t="n"/>
      <c r="C12" s="229" t="n"/>
      <c r="D12" s="229" t="n"/>
      <c r="E12" s="232" t="inlineStr">
        <is>
          <t>④ 위닝 콘텐츠·시딩 자산을 올영세일 구매 전환으로 직접 연결</t>
        </is>
      </c>
      <c r="F12" s="229" t="n"/>
    </row>
    <row r="13" ht="18" customHeight="1">
      <c r="A13" s="229" t="n"/>
      <c r="B13" s="229" t="n"/>
      <c r="C13" s="229" t="n"/>
      <c r="D13" s="229" t="n"/>
      <c r="E13" s="229" t="n"/>
      <c r="F13" s="229" t="n"/>
    </row>
    <row r="14" ht="18" customHeight="1">
      <c r="A14" s="229" t="n"/>
      <c r="B14" s="229" t="n"/>
      <c r="C14" s="231" t="inlineStr">
        <is>
          <t>· 견적 요약</t>
        </is>
      </c>
      <c r="D14" s="229" t="n"/>
      <c r="E14" s="232" t="inlineStr">
        <is>
          <t>· 총 견적 : KRW 250,000,000원 (VAT 별도)</t>
        </is>
      </c>
      <c r="F14" s="229" t="n"/>
    </row>
    <row r="15" ht="6" customHeight="1">
      <c r="A15" s="229" t="n"/>
      <c r="B15" s="229" t="n"/>
      <c r="C15" s="229" t="n"/>
      <c r="D15" s="229" t="n"/>
      <c r="E15" s="232" t="inlineStr">
        <is>
          <t>· 목표 수량 : 크리에이터 시딩 311건 + BATi 60건 + EGC 120 · Half EGC 24 + 콘텐츠 제작 6식 + 바이럴 10 + 솔루션 6식</t>
        </is>
      </c>
      <c r="F15" s="229" t="n"/>
    </row>
    <row r="16" ht="18" customHeight="1">
      <c r="A16" s="229" t="n"/>
      <c r="B16" s="229" t="n"/>
      <c r="C16" s="229" t="n"/>
      <c r="D16" s="229" t="n"/>
      <c r="E16" s="229" t="n"/>
      <c r="F16" s="229" t="n"/>
    </row>
    <row r="17" ht="18" customHeight="1">
      <c r="A17" s="229" t="n"/>
      <c r="B17" s="229" t="n"/>
      <c r="C17" s="231" t="inlineStr">
        <is>
          <t>· A/C 견적 상세</t>
        </is>
      </c>
      <c r="D17" s="229" t="n"/>
      <c r="E17" s="232" t="inlineStr">
        <is>
          <t>· 크리에이터 시딩 : 113,160,000원  (나노 90 · 마이크로 140 · 매크로 12 · KOL 30 · X 24 · 블로그 15)</t>
        </is>
      </c>
      <c r="F17" s="229" t="n"/>
    </row>
    <row r="18" ht="18" customHeight="1">
      <c r="A18" s="229" t="n"/>
      <c r="B18" s="229" t="n"/>
      <c r="C18" s="229" t="n"/>
      <c r="D18" s="229" t="n"/>
      <c r="E18" s="232" t="inlineStr">
        <is>
          <t>· BATi 마이크로 앰배서더 : 30,000,000원  (10명 × 6회 = 60건 × 500,000원)</t>
        </is>
      </c>
      <c r="F18" s="229" t="n"/>
    </row>
    <row r="19" ht="18" customHeight="1">
      <c r="A19" s="229" t="n"/>
      <c r="B19" s="229" t="n"/>
      <c r="C19" s="229" t="n"/>
      <c r="D19" s="229" t="n"/>
      <c r="E19" s="232" t="inlineStr">
        <is>
          <t>· 콘텐츠 EGC : 78,000,000원  (EGC 120 × 500,000 · Half EGC 24 × 750,000)</t>
        </is>
      </c>
      <c r="F19" s="229" t="n"/>
    </row>
    <row r="20" ht="18" customHeight="1">
      <c r="A20" s="229" t="n"/>
      <c r="B20" s="229" t="n"/>
      <c r="C20" s="229" t="n"/>
      <c r="D20" s="229" t="n"/>
      <c r="E20" s="232" t="inlineStr">
        <is>
          <t>· 콘텐츠 제작(KV·영상·이미지) : 6,000,000원  (6식 × 1,000,000)</t>
        </is>
      </c>
      <c r="F20" s="229" t="n"/>
    </row>
    <row r="21" ht="25.95" customHeight="1">
      <c r="A21" s="229" t="n"/>
      <c r="B21" s="229" t="n"/>
      <c r="C21" s="229" t="n"/>
      <c r="D21" s="229" t="n"/>
      <c r="E21" s="232" t="inlineStr">
        <is>
          <t>· 바이럴 : 22,700,000원  (파워페이지 6 · 커뮤니티 2 · 챌린저스 2)</t>
        </is>
      </c>
      <c r="F21" s="229" t="n"/>
    </row>
    <row r="22" ht="6" customHeight="1">
      <c r="A22" s="229" t="n"/>
      <c r="B22" s="229" t="n"/>
      <c r="C22" s="229" t="n"/>
      <c r="D22" s="229" t="n"/>
      <c r="E22" s="232" t="inlineStr">
        <is>
          <t>· 스프레이ai 솔루션 : 140,000원  (6식)</t>
        </is>
      </c>
      <c r="F22" s="229" t="n"/>
    </row>
    <row r="23" ht="18" customHeight="1">
      <c r="A23" s="229" t="n"/>
      <c r="B23" s="229" t="n"/>
      <c r="C23" s="229" t="n"/>
      <c r="D23" s="229" t="n"/>
      <c r="E23" s="232" t="inlineStr">
        <is>
          <t>· 총 합계 : 250,000,000원 (VAT 별도)</t>
        </is>
      </c>
      <c r="F23" s="229" t="n"/>
    </row>
    <row r="24" ht="18" customHeight="1">
      <c r="A24" s="229" t="n"/>
      <c r="B24" s="229" t="n"/>
      <c r="C24" s="229" t="n"/>
      <c r="D24" s="229" t="n"/>
      <c r="E24" s="229" t="n"/>
      <c r="F24" s="229" t="n"/>
    </row>
    <row r="25" ht="18" customHeight="1">
      <c r="A25" s="229" t="n"/>
      <c r="B25" s="229" t="n"/>
      <c r="C25" s="231" t="inlineStr">
        <is>
          <t>· 단가 안내</t>
        </is>
      </c>
      <c r="D25" s="229" t="n"/>
      <c r="E25" s="232" t="inlineStr">
        <is>
          <t>· 나노 27만 / 마이크로 42만 / 매크로 88만 / KOL 10만 / X 55만 / 블로그 22만 (건당 총 견적)</t>
        </is>
      </c>
      <c r="F25" s="229" t="n"/>
    </row>
    <row r="26" ht="6" customHeight="1">
      <c r="A26" s="229" t="n"/>
      <c r="B26" s="229" t="n"/>
      <c r="C26" s="229" t="n"/>
      <c r="D26" s="229" t="n"/>
      <c r="E26" s="232" t="inlineStr">
        <is>
          <t>· EGC 50만 / Half EGC 75만 / 콘텐츠 제작 100만 / BATi 50만 (건당 총 견적)</t>
        </is>
      </c>
      <c r="F26" s="229" t="n"/>
    </row>
    <row r="27" ht="18" customHeight="1">
      <c r="A27" s="229" t="n"/>
      <c r="B27" s="229" t="n"/>
      <c r="C27" s="229" t="n"/>
      <c r="D27" s="229" t="n"/>
      <c r="E27" s="229" t="n"/>
      <c r="F27" s="229" t="n"/>
    </row>
    <row r="28" ht="18" customHeight="1">
      <c r="A28" s="229" t="n"/>
      <c r="B28" s="229" t="n"/>
      <c r="C28" s="231" t="inlineStr">
        <is>
          <t>· BATi 안내</t>
        </is>
      </c>
      <c r="D28" s="229" t="n"/>
      <c r="E28" s="232" t="inlineStr">
        <is>
          <t>· BAT 보유 우수 마이크로 인플루언서 실(實)리드 풀 + 마이크로 MCN 모듈 기반 '마이크로 앰배서더' 6개월 다회차 협업</t>
        </is>
      </c>
      <c r="F28" s="229" t="n"/>
    </row>
    <row r="29" ht="6" customHeight="1">
      <c r="A29" s="229" t="n"/>
      <c r="B29" s="229" t="n"/>
      <c r="C29" s="229" t="n"/>
      <c r="D29" s="229" t="n"/>
      <c r="E29" s="232" t="inlineStr">
        <is>
          <t>· 1명당 월 1회 이상(총 6회) 협업 · e.g. 일본 마이크로 인플루언서 SK-II 다회차 협업 사례</t>
        </is>
      </c>
      <c r="F29" s="229" t="n"/>
    </row>
    <row r="30" ht="18" customHeight="1">
      <c r="A30" s="229" t="n"/>
      <c r="B30" s="229" t="n"/>
      <c r="C30" s="229" t="n"/>
      <c r="D30" s="229" t="n"/>
      <c r="E30" s="229" t="n"/>
      <c r="F30" s="229" t="n"/>
    </row>
    <row r="31" ht="18" customHeight="1">
      <c r="A31" s="229" t="n"/>
      <c r="B31" s="229" t="n"/>
      <c r="C31" s="231" t="inlineStr">
        <is>
          <t>· 무상 지원</t>
        </is>
      </c>
      <c r="D31" s="229" t="n"/>
      <c r="E31" s="232" t="inlineStr">
        <is>
          <t>· 고성과 리포트 대시보드 / 올리비아 AI 어시스턴트 / VOC 딥다이브 / Claude AI 심의 검수 / 월간 리포팅 / 위닝 2차 활용</t>
        </is>
      </c>
      <c r="F31" s="229" t="n"/>
    </row>
    <row r="32" ht="18" customHeight="1">
      <c r="A32" s="229" t="n"/>
      <c r="B32" s="229" t="n"/>
      <c r="C32" s="229" t="n"/>
      <c r="D32" s="229" t="n"/>
      <c r="E32" s="229" t="n"/>
      <c r="F32" s="229" t="n"/>
    </row>
    <row r="33" ht="6" customHeight="1">
      <c r="A33" s="229" t="n"/>
      <c r="B33" s="229" t="n"/>
      <c r="C33" s="231" t="inlineStr">
        <is>
          <t>· 특이사항</t>
        </is>
      </c>
      <c r="D33" s="229" t="n"/>
      <c r="E33" s="232" t="inlineStr">
        <is>
          <t>· 시장 단가 변동 및 모집 기간에 따라 총 원고료는 소폭 변동될 수 있습니다.</t>
        </is>
      </c>
      <c r="F33" s="229" t="n"/>
    </row>
    <row r="34" ht="18" customHeight="1">
      <c r="A34" s="229" t="n"/>
      <c r="B34" s="229" t="n"/>
      <c r="C34" s="229" t="n"/>
      <c r="D34" s="229" t="n"/>
      <c r="E34" s="232" t="inlineStr">
        <is>
          <t>· 인플루언서 섭외 &amp; 콘텐츠 업로드 &amp; 원고료 지급까지 BAT 담당 ※ 제품 발송은 올리브영 PB</t>
        </is>
      </c>
      <c r="F34" s="229" t="n"/>
    </row>
    <row r="35" ht="18" customHeight="1">
      <c r="A35" s="229" t="n"/>
      <c r="B35" s="229" t="n"/>
      <c r="C35" s="229" t="n"/>
      <c r="D35" s="229" t="n"/>
      <c r="E35" s="232" t="inlineStr">
        <is>
          <t>· 항목별 상세는 '견적상세'(월별), 집행 일정은 '월별 액션플랜' 시트를 확인 바랍니다.</t>
        </is>
      </c>
      <c r="F35" s="229" t="n"/>
    </row>
    <row r="36" ht="18" customHeight="1">
      <c r="A36" s="229" t="n"/>
      <c r="B36" s="229" t="n"/>
      <c r="C36" s="229" t="n"/>
      <c r="D36" s="229" t="n"/>
      <c r="E36" s="229" t="n"/>
      <c r="F36" s="229" t="n"/>
    </row>
    <row r="37" ht="10.05" customHeight="1">
      <c r="A37" s="229" t="n"/>
      <c r="B37" s="229" t="n"/>
      <c r="C37" s="229" t="n"/>
      <c r="D37" s="229" t="n"/>
      <c r="E37" s="229" t="n"/>
      <c r="F37" s="229" t="n"/>
    </row>
  </sheetData>
  <mergeCells count="1">
    <mergeCell ref="C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9"/>
  <sheetViews>
    <sheetView tabSelected="1" zoomScale="85" zoomScaleNormal="85" workbookViewId="0">
      <selection activeCell="A1" sqref="A1"/>
    </sheetView>
  </sheetViews>
  <sheetFormatPr baseColWidth="8" defaultRowHeight="17.4"/>
  <cols>
    <col width="3.8984375" customWidth="1" style="28" min="1" max="1"/>
    <col width="27.19921875" customWidth="1" style="28" min="2" max="2"/>
    <col width="16.69921875" bestFit="1" customWidth="1" style="28" min="3" max="3"/>
    <col width="52.296875" customWidth="1" style="5" min="4" max="4"/>
    <col width="22" customWidth="1" style="5" min="5" max="6"/>
    <col width="8" customWidth="1" style="28" min="7" max="7"/>
    <col width="11" customWidth="1" style="5" min="8" max="13"/>
    <col width="11.796875" customWidth="1" style="5" min="14" max="14"/>
    <col width="13" customWidth="1" style="5" min="15" max="15"/>
    <col width="30.796875" bestFit="1" customWidth="1" style="5" min="16" max="16"/>
    <col width="8.796875" customWidth="1" style="5" min="17" max="17"/>
    <col width="8.796875" customWidth="1" style="5" min="18" max="16384"/>
  </cols>
  <sheetData>
    <row r="1">
      <c r="G1" s="139" t="n"/>
    </row>
    <row r="2" ht="20.4" customHeight="1">
      <c r="B2" s="26" t="inlineStr">
        <is>
          <t>올더베러 26년 하반기 견적 상세 — 월별 캠페인   (단위: 원 / VAT 별도)</t>
        </is>
      </c>
    </row>
    <row r="3">
      <c r="B3" s="27" t="inlineStr">
        <is>
          <t>2026년 3,4Q : 07월 - 12월 / 총 예산 2.5억 원 / 인플루언서 시딩, 바이럴 콘텐츠 통합 제안</t>
        </is>
      </c>
    </row>
    <row r="4" ht="5.4" customHeight="1" thickBot="1"/>
    <row r="5">
      <c r="B5" s="160" t="inlineStr">
        <is>
          <t>■ 전체 합계 (6개월 취합)</t>
        </is>
      </c>
      <c r="C5" s="161" t="n"/>
      <c r="D5" s="161" t="n"/>
      <c r="E5" s="161" t="n"/>
      <c r="F5" s="161" t="n"/>
      <c r="G5" s="161" t="n"/>
      <c r="H5" s="161" t="n"/>
      <c r="I5" s="161" t="n"/>
      <c r="J5" s="161" t="n"/>
      <c r="K5" s="161" t="n"/>
      <c r="L5" s="161" t="n"/>
      <c r="M5" s="161" t="n"/>
      <c r="N5" s="161" t="n"/>
    </row>
    <row r="6" ht="18" customHeight="1" thickBot="1">
      <c r="B6" s="166" t="inlineStr">
        <is>
          <t>6개월 합산 총 견적 합계</t>
        </is>
      </c>
      <c r="C6" s="167" t="inlineStr">
        <is>
          <t>채널</t>
        </is>
      </c>
      <c r="D6" s="167" t="inlineStr">
        <is>
          <t>캠페인 및 활용 목적 / 앵글</t>
        </is>
      </c>
      <c r="E6" s="167" t="inlineStr">
        <is>
          <t>타겟 페르소나</t>
        </is>
      </c>
      <c r="F6" s="167" t="inlineStr">
        <is>
          <t>필수 해시태그</t>
        </is>
      </c>
      <c r="G6" s="168" t="inlineStr">
        <is>
          <t>목표수량</t>
        </is>
      </c>
      <c r="H6" s="169" t="inlineStr">
        <is>
          <t>단가</t>
        </is>
      </c>
      <c r="I6" s="169" t="n"/>
      <c r="J6" s="169" t="n"/>
      <c r="K6" s="169" t="inlineStr">
        <is>
          <t>마크업(20%)</t>
        </is>
      </c>
      <c r="L6" s="170" t="n"/>
      <c r="M6" s="170" t="n"/>
      <c r="N6" s="170" t="n"/>
      <c r="O6" s="129" t="n"/>
      <c r="P6" s="129" t="n"/>
    </row>
    <row r="7" ht="31.8" customHeight="1" thickBot="1">
      <c r="B7" s="140" t="inlineStr">
        <is>
          <t>항목</t>
        </is>
      </c>
      <c r="C7" s="141" t="inlineStr">
        <is>
          <t>채널</t>
        </is>
      </c>
      <c r="D7" s="141" t="inlineStr">
        <is>
          <t>캠페인 및 활용 목적 / 앵글</t>
        </is>
      </c>
      <c r="E7" s="141" t="inlineStr">
        <is>
          <t>타겟 페르소나</t>
        </is>
      </c>
      <c r="F7" s="141" t="inlineStr">
        <is>
          <t>필수 해시태그</t>
        </is>
      </c>
      <c r="G7" s="142" t="inlineStr">
        <is>
          <t>목표수량</t>
        </is>
      </c>
      <c r="H7" s="143" t="inlineStr">
        <is>
          <t>원고료 및 정가</t>
        </is>
      </c>
      <c r="I7" s="144" t="inlineStr">
        <is>
          <t>할인 원고료 및 할인가</t>
        </is>
      </c>
      <c r="J7" s="143" t="inlineStr">
        <is>
          <t>할인율(%)</t>
        </is>
      </c>
      <c r="K7" s="145" t="inlineStr">
        <is>
          <t>마크업(건당)</t>
        </is>
      </c>
      <c r="L7" s="146" t="inlineStr">
        <is>
          <t>마크업(%)</t>
        </is>
      </c>
      <c r="M7" s="180" t="inlineStr">
        <is>
          <t>총견적(건당)</t>
        </is>
      </c>
      <c r="N7" s="180" t="inlineStr">
        <is>
          <t>총견적(합계)</t>
        </is>
      </c>
      <c r="O7" s="130" t="inlineStr">
        <is>
          <t>2차라이선스</t>
        </is>
      </c>
      <c r="P7" s="130" t="inlineStr">
        <is>
          <t>비고</t>
        </is>
      </c>
    </row>
    <row r="8" ht="18" customHeight="1" thickBot="1">
      <c r="B8" s="152" t="inlineStr">
        <is>
          <t>※ 뷰티 대비 웰니스 크리에이터 협업 원고료 10~30% 이상 높음</t>
        </is>
      </c>
      <c r="C8" s="153" t="n"/>
      <c r="D8" s="153" t="n"/>
      <c r="E8" s="153" t="n"/>
      <c r="F8" s="153" t="n"/>
      <c r="G8" s="154" t="inlineStr">
        <is>
          <t>D</t>
        </is>
      </c>
      <c r="H8" s="155" t="n"/>
      <c r="I8" s="156" t="inlineStr">
        <is>
          <t>A</t>
        </is>
      </c>
      <c r="J8" s="155" t="n"/>
      <c r="K8" s="157" t="inlineStr">
        <is>
          <t>B</t>
        </is>
      </c>
      <c r="L8" s="158" t="n"/>
      <c r="M8" s="181" t="inlineStr">
        <is>
          <t>C=A+B</t>
        </is>
      </c>
      <c r="N8" s="181" t="inlineStr">
        <is>
          <t>E=D*C</t>
        </is>
      </c>
      <c r="O8" s="159" t="n"/>
      <c r="P8" s="159" t="n"/>
    </row>
    <row r="9">
      <c r="B9" s="147" t="inlineStr">
        <is>
          <t>나노</t>
        </is>
      </c>
      <c r="C9" s="148" t="inlineStr">
        <is>
          <t>IG</t>
        </is>
      </c>
      <c r="D9" s="233" t="inlineStr">
        <is>
          <t>6개월 합산</t>
        </is>
      </c>
      <c r="E9" s="234" t="n"/>
      <c r="F9" s="235" t="n"/>
      <c r="G9" s="149" t="n">
        <v>90</v>
      </c>
      <c r="H9" s="236" t="n">
        <v>275000</v>
      </c>
      <c r="I9" s="236" t="n">
        <v>225000</v>
      </c>
      <c r="J9" s="237">
        <f>100%-(I9/H9)</f>
        <v/>
      </c>
      <c r="K9" s="236">
        <f>I9*L9</f>
        <v/>
      </c>
      <c r="L9" s="238" t="n">
        <v>0.2</v>
      </c>
      <c r="M9" s="239">
        <f>I9+K9</f>
        <v/>
      </c>
      <c r="N9" s="239">
        <f>G9*M9</f>
        <v/>
      </c>
      <c r="O9" s="240" t="inlineStr">
        <is>
          <t>O</t>
        </is>
      </c>
      <c r="P9" s="240" t="n"/>
      <c r="R9" s="5" t="inlineStr">
        <is>
          <t>마이크로</t>
        </is>
      </c>
      <c r="S9" s="128" t="n">
        <v>0.15</v>
      </c>
    </row>
    <row r="10">
      <c r="B10" s="63" t="inlineStr">
        <is>
          <t>마이크로 (UGC)</t>
        </is>
      </c>
      <c r="C10" s="59" t="inlineStr">
        <is>
          <t>IG·TT</t>
        </is>
      </c>
      <c r="D10" s="241" t="inlineStr">
        <is>
          <t>6개월 합산</t>
        </is>
      </c>
      <c r="E10" s="3" t="n"/>
      <c r="F10" s="242" t="n"/>
      <c r="G10" s="60" t="n">
        <v>140</v>
      </c>
      <c r="H10" s="243" t="n">
        <v>450000</v>
      </c>
      <c r="I10" s="243" t="n">
        <v>350000</v>
      </c>
      <c r="J10" s="237">
        <f>100%-(I10/H10)</f>
        <v/>
      </c>
      <c r="K10" s="236">
        <f>I10*L10</f>
        <v/>
      </c>
      <c r="L10" s="244" t="n">
        <v>0.2</v>
      </c>
      <c r="M10" s="239">
        <f>I10+K10</f>
        <v/>
      </c>
      <c r="N10" s="239">
        <f>G10*M10</f>
        <v/>
      </c>
      <c r="O10" s="240" t="inlineStr">
        <is>
          <t>O</t>
        </is>
      </c>
      <c r="P10" s="240" t="inlineStr">
        <is>
          <t>기대행 수수료 25%에서 5%p 추가 할인</t>
        </is>
      </c>
      <c r="R10" s="5" t="inlineStr">
        <is>
          <t>메크로</t>
        </is>
      </c>
      <c r="S10" s="128" t="n">
        <v>0.1</v>
      </c>
    </row>
    <row r="11">
      <c r="B11" s="63" t="inlineStr">
        <is>
          <t>매크로</t>
        </is>
      </c>
      <c r="C11" s="59" t="inlineStr">
        <is>
          <t>IG·TT·YT</t>
        </is>
      </c>
      <c r="D11" s="241" t="inlineStr">
        <is>
          <t>6개월 합산</t>
        </is>
      </c>
      <c r="E11" s="3" t="n"/>
      <c r="F11" s="242" t="n"/>
      <c r="G11" s="60" t="n">
        <v>12</v>
      </c>
      <c r="H11" s="243" t="n">
        <v>1000000</v>
      </c>
      <c r="I11" s="243" t="n">
        <v>800000</v>
      </c>
      <c r="J11" s="237">
        <f>100%-(I11/H11)</f>
        <v/>
      </c>
      <c r="K11" s="236">
        <f>I11*L11</f>
        <v/>
      </c>
      <c r="L11" s="244" t="n">
        <v>0.1</v>
      </c>
      <c r="M11" s="239">
        <f>I11+K11</f>
        <v/>
      </c>
      <c r="N11" s="239">
        <f>G11*M11</f>
        <v/>
      </c>
      <c r="O11" s="240" t="inlineStr">
        <is>
          <t>O</t>
        </is>
      </c>
      <c r="P11" s="240" t="n"/>
      <c r="R11" s="5" t="inlineStr">
        <is>
          <t>나노</t>
        </is>
      </c>
      <c r="S11" s="5" t="inlineStr">
        <is>
          <t>고정비</t>
        </is>
      </c>
    </row>
    <row r="12">
      <c r="A12" s="28" t="inlineStr">
        <is>
          <t>V</t>
        </is>
      </c>
      <c r="B12" s="63" t="inlineStr">
        <is>
          <t>KOL 무가시딩</t>
        </is>
      </c>
      <c r="C12" s="59" t="inlineStr">
        <is>
          <t>IG·YT</t>
        </is>
      </c>
      <c r="D12" s="241" t="inlineStr">
        <is>
          <t>6개월 합산</t>
        </is>
      </c>
      <c r="E12" s="3" t="n"/>
      <c r="F12" s="242" t="n"/>
      <c r="G12" s="60" t="n">
        <v>30</v>
      </c>
      <c r="H12" s="243" t="n">
        <v>50000</v>
      </c>
      <c r="I12" s="243">
        <f>H12</f>
        <v/>
      </c>
      <c r="J12" s="237">
        <f>100%-(I12/H12)</f>
        <v/>
      </c>
      <c r="K12" s="236" t="n">
        <v>50000</v>
      </c>
      <c r="L12" s="244" t="n"/>
      <c r="M12" s="239">
        <f>I12+K12</f>
        <v/>
      </c>
      <c r="N12" s="239">
        <f>G12*M12</f>
        <v/>
      </c>
      <c r="O12" s="240" t="inlineStr">
        <is>
          <t>X</t>
        </is>
      </c>
      <c r="P12" s="240" t="n"/>
    </row>
    <row r="13">
      <c r="B13" s="63" t="inlineStr">
        <is>
          <t>X (트위터) 시딩</t>
        </is>
      </c>
      <c r="C13" s="59" t="inlineStr">
        <is>
          <t>X</t>
        </is>
      </c>
      <c r="D13" s="241" t="inlineStr">
        <is>
          <t>6개월 합산</t>
        </is>
      </c>
      <c r="E13" s="3" t="n"/>
      <c r="F13" s="242" t="n"/>
      <c r="G13" s="60" t="n">
        <v>24</v>
      </c>
      <c r="H13" s="243" t="n">
        <v>500000</v>
      </c>
      <c r="I13" s="243">
        <f>H13</f>
        <v/>
      </c>
      <c r="J13" s="237">
        <f>100%-(I13/H13)</f>
        <v/>
      </c>
      <c r="K13" s="236">
        <f>I13*L13</f>
        <v/>
      </c>
      <c r="L13" s="244" t="n">
        <v>0.1</v>
      </c>
      <c r="M13" s="239">
        <f>I13+K13</f>
        <v/>
      </c>
      <c r="N13" s="239">
        <f>G13*M13</f>
        <v/>
      </c>
      <c r="O13" s="240" t="inlineStr">
        <is>
          <t>X</t>
        </is>
      </c>
      <c r="P13" s="240" t="inlineStr">
        <is>
          <t>할인없음</t>
        </is>
      </c>
    </row>
    <row r="14">
      <c r="B14" s="63" t="inlineStr">
        <is>
          <t>네이버 블로그</t>
        </is>
      </c>
      <c r="C14" s="59" t="inlineStr">
        <is>
          <t>Blog</t>
        </is>
      </c>
      <c r="D14" s="241" t="inlineStr">
        <is>
          <t>6개월 합산</t>
        </is>
      </c>
      <c r="E14" s="3" t="n"/>
      <c r="F14" s="242" t="n"/>
      <c r="G14" s="60" t="n">
        <v>15</v>
      </c>
      <c r="H14" s="243" t="n">
        <v>300000</v>
      </c>
      <c r="I14" s="243" t="n">
        <v>200000</v>
      </c>
      <c r="J14" s="237">
        <f>100%-(I14/H14)</f>
        <v/>
      </c>
      <c r="K14" s="236">
        <f>I14*L14</f>
        <v/>
      </c>
      <c r="L14" s="244" t="n">
        <v>0.1</v>
      </c>
      <c r="M14" s="239">
        <f>I14+K14</f>
        <v/>
      </c>
      <c r="N14" s="239">
        <f>G14*M14</f>
        <v/>
      </c>
      <c r="O14" s="240" t="n"/>
      <c r="P14" s="240" t="n"/>
    </row>
    <row r="15">
      <c r="B15" s="63" t="inlineStr">
        <is>
          <t>EGC 콘텐츠</t>
        </is>
      </c>
      <c r="C15" s="59" t="inlineStr">
        <is>
          <t>SNS</t>
        </is>
      </c>
      <c r="D15" s="241" t="inlineStr">
        <is>
          <t>6개월 합산</t>
        </is>
      </c>
      <c r="E15" s="3" t="n"/>
      <c r="F15" s="242" t="n"/>
      <c r="G15" s="60" t="n">
        <v>120</v>
      </c>
      <c r="H15" s="243" t="n">
        <v>1000000</v>
      </c>
      <c r="I15" s="243" t="n">
        <v>450000</v>
      </c>
      <c r="J15" s="237">
        <f>100%-(I15/H15)</f>
        <v/>
      </c>
      <c r="K15" s="236" t="n">
        <v>50000</v>
      </c>
      <c r="L15" s="244">
        <f>K15/I15</f>
        <v/>
      </c>
      <c r="M15" s="239">
        <f>I15+K15</f>
        <v/>
      </c>
      <c r="N15" s="239">
        <f>G15*M15</f>
        <v/>
      </c>
      <c r="O15" s="240" t="n"/>
      <c r="P15" s="240" t="n"/>
    </row>
    <row r="16">
      <c r="B16" s="63" t="inlineStr">
        <is>
          <t>Half EGC 콘텐츠</t>
        </is>
      </c>
      <c r="C16" s="59" t="inlineStr">
        <is>
          <t>SNS</t>
        </is>
      </c>
      <c r="D16" s="241" t="inlineStr">
        <is>
          <t>6개월 합산</t>
        </is>
      </c>
      <c r="E16" s="3" t="n"/>
      <c r="F16" s="242" t="n"/>
      <c r="G16" s="60" t="n">
        <v>24</v>
      </c>
      <c r="H16" s="243" t="n">
        <v>1250000</v>
      </c>
      <c r="I16" s="243" t="n">
        <v>650000</v>
      </c>
      <c r="J16" s="237">
        <f>100%-(I16/H16)</f>
        <v/>
      </c>
      <c r="K16" s="236" t="n">
        <v>100000</v>
      </c>
      <c r="L16" s="244">
        <f>K16/I16</f>
        <v/>
      </c>
      <c r="M16" s="239">
        <f>I16+K16</f>
        <v/>
      </c>
      <c r="N16" s="239">
        <f>G16*M16</f>
        <v/>
      </c>
      <c r="O16" s="240" t="n"/>
      <c r="P16" s="240" t="n"/>
    </row>
    <row r="17">
      <c r="A17" s="28" t="inlineStr">
        <is>
          <t>V</t>
        </is>
      </c>
      <c r="B17" s="63" t="inlineStr">
        <is>
          <t>콘텐츠 제작- KV</t>
        </is>
      </c>
      <c r="C17" s="59" t="inlineStr">
        <is>
          <t>제작</t>
        </is>
      </c>
      <c r="D17" s="241" t="inlineStr">
        <is>
          <t>6개월 합산</t>
        </is>
      </c>
      <c r="E17" s="3" t="n"/>
      <c r="F17" s="242" t="n"/>
      <c r="G17" s="60" t="n">
        <v>6</v>
      </c>
      <c r="H17" s="245" t="n">
        <v>1000000</v>
      </c>
      <c r="I17" s="245">
        <f>H17</f>
        <v/>
      </c>
      <c r="J17" s="237">
        <f>100%-(I17/H17)</f>
        <v/>
      </c>
      <c r="K17" s="236">
        <f>I17</f>
        <v/>
      </c>
      <c r="L17" s="244" t="n"/>
      <c r="M17" s="239">
        <f>K17</f>
        <v/>
      </c>
      <c r="N17" s="239">
        <f>G17*M17</f>
        <v/>
      </c>
      <c r="O17" s="246" t="n"/>
      <c r="P17" s="246" t="n"/>
    </row>
    <row r="18">
      <c r="B18" s="63" t="inlineStr">
        <is>
          <t>파워페이지</t>
        </is>
      </c>
      <c r="C18" s="59" t="inlineStr">
        <is>
          <t>SNS</t>
        </is>
      </c>
      <c r="D18" s="241" t="inlineStr">
        <is>
          <t>6개월 합산</t>
        </is>
      </c>
      <c r="E18" s="3" t="n"/>
      <c r="F18" s="242" t="n"/>
      <c r="G18" s="60" t="n">
        <v>6</v>
      </c>
      <c r="H18" s="243" t="n">
        <v>800000</v>
      </c>
      <c r="I18" s="243" t="n">
        <v>700000</v>
      </c>
      <c r="J18" s="237">
        <f>100%-(I18/H18)</f>
        <v/>
      </c>
      <c r="K18" s="236" t="n">
        <v>50000</v>
      </c>
      <c r="L18" s="244">
        <f>K18/I18</f>
        <v/>
      </c>
      <c r="M18" s="239">
        <f>I18+K18</f>
        <v/>
      </c>
      <c r="N18" s="239">
        <f>G18*M18</f>
        <v/>
      </c>
      <c r="O18" s="240" t="n"/>
      <c r="P18" s="240" t="n"/>
    </row>
    <row r="19">
      <c r="B19" s="63" t="inlineStr">
        <is>
          <t>커뮤니티 체험단</t>
        </is>
      </c>
      <c r="C19" s="59" t="inlineStr">
        <is>
          <t>뷰티앱·커뮤니티</t>
        </is>
      </c>
      <c r="D19" s="241" t="inlineStr">
        <is>
          <t>6개월 합산 (마크업 20% 포함)</t>
        </is>
      </c>
      <c r="E19" s="3" t="n"/>
      <c r="F19" s="242" t="n"/>
      <c r="G19" s="60" t="n">
        <v>2</v>
      </c>
      <c r="H19" s="243" t="n">
        <v>5000000</v>
      </c>
      <c r="I19" s="243" t="n">
        <v>4000000</v>
      </c>
      <c r="J19" s="237">
        <f>100%-(I19/H19)</f>
        <v/>
      </c>
      <c r="K19" s="236" t="n">
        <v>300000</v>
      </c>
      <c r="L19" s="244">
        <f>K19/I19</f>
        <v/>
      </c>
      <c r="M19" s="239">
        <f>I19+K19</f>
        <v/>
      </c>
      <c r="N19" s="239">
        <f>G19*M19</f>
        <v/>
      </c>
      <c r="O19" s="240" t="n"/>
      <c r="P19" s="240" t="n"/>
    </row>
    <row r="20">
      <c r="B20" s="63" t="inlineStr">
        <is>
          <t>챌린저스</t>
        </is>
      </c>
      <c r="C20" s="59" t="inlineStr">
        <is>
          <t>챌린저스 앱</t>
        </is>
      </c>
      <c r="D20" s="241" t="inlineStr">
        <is>
          <t>6개월 합산 (마크업 20% 포함)</t>
        </is>
      </c>
      <c r="E20" s="3" t="n"/>
      <c r="F20" s="242" t="n"/>
      <c r="G20" s="60" t="n">
        <v>2</v>
      </c>
      <c r="H20" s="243" t="n">
        <v>5000000</v>
      </c>
      <c r="I20" s="243" t="n">
        <v>4500000</v>
      </c>
      <c r="J20" s="237">
        <f>100%-(I20/H20)</f>
        <v/>
      </c>
      <c r="K20" s="236" t="n">
        <v>300000</v>
      </c>
      <c r="L20" s="244">
        <f>K20/I20</f>
        <v/>
      </c>
      <c r="M20" s="239">
        <f>I20+K20</f>
        <v/>
      </c>
      <c r="N20" s="239">
        <f>G20*M20</f>
        <v/>
      </c>
      <c r="O20" s="240" t="n"/>
      <c r="P20" s="240" t="inlineStr">
        <is>
          <t>1건당 몇 건?</t>
        </is>
      </c>
    </row>
    <row r="21">
      <c r="B21" s="63" t="inlineStr">
        <is>
          <t>BATI</t>
        </is>
      </c>
      <c r="C21" s="59" t="inlineStr">
        <is>
          <t>올영 쇼핑 큐레이터</t>
        </is>
      </c>
      <c r="D21" s="241" t="inlineStr">
        <is>
          <t>6개월 합산</t>
        </is>
      </c>
      <c r="E21" s="3" t="n"/>
      <c r="F21" s="242" t="n"/>
      <c r="G21" s="60" t="n">
        <v>60</v>
      </c>
      <c r="H21" s="243" t="n">
        <v>500000</v>
      </c>
      <c r="I21" s="243" t="n">
        <v>400000</v>
      </c>
      <c r="J21" s="237">
        <f>100%-(I21/H21)</f>
        <v/>
      </c>
      <c r="K21" s="236" t="n">
        <v>100000</v>
      </c>
      <c r="L21" s="244">
        <f>K21/M21</f>
        <v/>
      </c>
      <c r="M21" s="239">
        <f>I21+K21</f>
        <v/>
      </c>
      <c r="N21" s="239">
        <f>G21*M21</f>
        <v/>
      </c>
      <c r="O21" s="240" t="n"/>
      <c r="P21" s="240" t="n"/>
    </row>
    <row r="22">
      <c r="B22" s="63" t="inlineStr">
        <is>
          <t>스프레이 솔루션</t>
        </is>
      </c>
      <c r="C22" s="172" t="n"/>
      <c r="D22" s="173" t="n"/>
      <c r="E22" s="173" t="n"/>
      <c r="F22" s="173" t="n"/>
      <c r="G22" s="60" t="n">
        <v>6</v>
      </c>
      <c r="H22" s="243" t="n">
        <v>4200000</v>
      </c>
      <c r="I22" s="239" t="n">
        <v>23333.3</v>
      </c>
      <c r="J22" s="237">
        <f>100%-(I22/H22)</f>
        <v/>
      </c>
      <c r="K22" s="236" t="n"/>
      <c r="L22" s="244" t="n"/>
      <c r="M22" s="239">
        <f>I22</f>
        <v/>
      </c>
      <c r="N22" s="239">
        <f>G22*M22</f>
        <v/>
      </c>
      <c r="O22" s="240" t="n"/>
      <c r="P22" s="240" t="inlineStr">
        <is>
          <t>거의 서비스..</t>
        </is>
      </c>
    </row>
    <row r="23" customFormat="1" s="205">
      <c r="A23" s="204" t="n"/>
      <c r="B23" s="203" t="inlineStr">
        <is>
          <t>총 합계 (원고료+마크업, VAT 별도)</t>
        </is>
      </c>
      <c r="C23" s="3" t="n"/>
      <c r="D23" s="3" t="n"/>
      <c r="E23" s="3" t="n"/>
      <c r="F23" s="242" t="n"/>
      <c r="G23" s="184">
        <f>SUM(G9:G22)</f>
        <v/>
      </c>
      <c r="H23" s="247">
        <f>(G9*H9)+(G10*H10)+(G11*H11)+(G12*H12)+(G13*H13)+(G14*H14)+(G15*H15)+(G16*H16)+(G17*H17)+(G18*H18)+(G19*H19)+(G20*H20)+(G21*H21)+(G22*H22)</f>
        <v/>
      </c>
      <c r="I23" s="247">
        <f>(G9*I9)+(G10*I10)+(G11*I11)+(G12*I12)+(G13*I13)+(G14*I14)+(G15*I15)+(G16*I16)+(G17*I17)+(G18*I18)+(G19*I19)+(G20*I20)+(G21*I21)+(G22*I22)</f>
        <v/>
      </c>
      <c r="J23" s="248">
        <f>100%-(I23/H23)</f>
        <v/>
      </c>
      <c r="K23" s="247">
        <f>(G9*K9)+(G10*K10)+(G11*K11)+(G12*K12)+(G13*K13)+(G14*K14)+(G15*K15)+(G16*K16)+(G17*K17)+(G18*K18)+(G19*K19)+(G20*K20)+(G21*K21)+(G22*K22)</f>
        <v/>
      </c>
      <c r="L23" s="185">
        <f>K23/N23</f>
        <v/>
      </c>
      <c r="M23" s="249" t="inlineStr">
        <is>
          <t>-</t>
        </is>
      </c>
      <c r="N23" s="250">
        <f>SUM(N9:N22)</f>
        <v/>
      </c>
      <c r="O23" s="251" t="n"/>
      <c r="P23" s="251" t="n"/>
    </row>
    <row r="24">
      <c r="B24" s="64" t="n"/>
      <c r="H24" s="207" t="inlineStr">
        <is>
          <t>부가세(10%)</t>
        </is>
      </c>
      <c r="I24" s="252" t="n"/>
      <c r="J24" s="252" t="n"/>
      <c r="K24" s="253" t="n"/>
      <c r="L24" s="206" t="n"/>
      <c r="M24" s="206" t="n"/>
      <c r="N24" s="206" t="n"/>
      <c r="O24" s="254" t="n"/>
      <c r="P24" s="254" t="n"/>
    </row>
    <row r="25" ht="18" customHeight="1" thickBot="1">
      <c r="B25" s="65" t="n"/>
      <c r="C25" s="66" t="n"/>
      <c r="D25" s="67" t="n"/>
      <c r="E25" s="67" t="n"/>
      <c r="F25" s="67" t="n"/>
      <c r="G25" s="66" t="n"/>
      <c r="H25" s="209" t="inlineStr">
        <is>
          <t>합계(VAT 포함)</t>
        </is>
      </c>
      <c r="I25" s="255" t="n"/>
      <c r="J25" s="255" t="n"/>
      <c r="K25" s="256" t="n"/>
      <c r="L25" s="208" t="n"/>
      <c r="M25" s="208" t="n"/>
      <c r="N25" s="208" t="n"/>
      <c r="O25" s="257" t="n"/>
      <c r="P25" s="257" t="n"/>
    </row>
    <row r="26" ht="18" customHeight="1" thickBot="1"/>
    <row r="27" ht="18" customHeight="1" thickBot="1">
      <c r="B27" s="162" t="inlineStr">
        <is>
          <t>■ 월별 상세 (7월 ~ 12월)</t>
        </is>
      </c>
      <c r="C27" s="163" t="n"/>
      <c r="D27" s="163" t="n"/>
      <c r="E27" s="163" t="n"/>
      <c r="F27" s="163" t="n"/>
      <c r="G27" s="163" t="n"/>
      <c r="H27" s="163" t="n"/>
      <c r="I27" s="163" t="n"/>
      <c r="J27" s="163" t="n"/>
      <c r="K27" s="163" t="n"/>
      <c r="L27" s="163" t="n"/>
      <c r="M27" s="163" t="n"/>
      <c r="N27" s="163" t="n"/>
    </row>
    <row r="28">
      <c r="B28" s="29" t="inlineStr">
        <is>
          <t>항목</t>
        </is>
      </c>
      <c r="C28" s="30" t="inlineStr">
        <is>
          <t>채널</t>
        </is>
      </c>
      <c r="D28" s="30" t="inlineStr">
        <is>
          <t>캠페인 및 활용 목적 / 앵글</t>
        </is>
      </c>
      <c r="E28" s="30" t="inlineStr">
        <is>
          <t>타겟 페르소나</t>
        </is>
      </c>
      <c r="F28" s="30" t="inlineStr">
        <is>
          <t>필수 해시태그</t>
        </is>
      </c>
      <c r="G28" s="31" t="inlineStr">
        <is>
          <t>목표수량</t>
        </is>
      </c>
      <c r="H28" s="32" t="inlineStr">
        <is>
          <t>단가</t>
        </is>
      </c>
      <c r="I28" s="32" t="n"/>
      <c r="J28" s="32" t="n"/>
      <c r="K28" s="32" t="inlineStr">
        <is>
          <t>마크업(20%)</t>
        </is>
      </c>
      <c r="L28" s="118" t="n"/>
      <c r="M28" s="118" t="n"/>
      <c r="N28" s="118" t="n"/>
      <c r="O28" s="130" t="n"/>
      <c r="P28" s="130" t="n"/>
    </row>
    <row r="29">
      <c r="B29" s="33" t="inlineStr">
        <is>
          <t xml:space="preserve">  ▣ 7월 · 착수 / 첫 점화 (Phase 1)   —   위닝 메시지 발굴 + 일반식품 시딩 도화선 점화 · 타겟: 웰니스 입문형</t>
        </is>
      </c>
      <c r="C29" s="79" t="n"/>
      <c r="D29" s="3" t="n"/>
      <c r="E29" s="3" t="n"/>
      <c r="F29" s="3" t="n"/>
      <c r="G29" s="79" t="n"/>
      <c r="H29" s="3" t="n"/>
      <c r="I29" s="3" t="n"/>
      <c r="J29" s="3" t="n"/>
      <c r="K29" s="3" t="n"/>
      <c r="L29" s="3" t="n"/>
      <c r="M29" s="3" t="n"/>
      <c r="N29" s="3" t="n"/>
    </row>
    <row r="30">
      <c r="B30" s="195" t="inlineStr">
        <is>
          <t>마이크로 (UGC)</t>
        </is>
      </c>
      <c r="C30" s="68" t="inlineStr">
        <is>
          <t>IG·TT</t>
        </is>
      </c>
      <c r="D30" s="69" t="inlineStr">
        <is>
          <t>멜라나잇(자기 전)·올리브오일(아침 공복) 위닝 메시지 LMF 테스트</t>
        </is>
      </c>
      <c r="E30" s="69" t="inlineStr">
        <is>
          <t>직장인 루틴형 2535</t>
        </is>
      </c>
      <c r="F30" s="70" t="inlineStr">
        <is>
          <t>#올더베러 #오늘도베러</t>
        </is>
      </c>
      <c r="G30" s="71" t="n">
        <v>20</v>
      </c>
      <c r="H30" s="258" t="n">
        <v>500000</v>
      </c>
      <c r="I30" s="258" t="n"/>
      <c r="J30" s="258" t="n"/>
      <c r="K30" s="258" t="n">
        <v>0</v>
      </c>
      <c r="L30" s="259" t="n"/>
      <c r="M30" s="259" t="n"/>
      <c r="N30" s="259" t="n"/>
      <c r="O30" s="260" t="n"/>
      <c r="P30" s="260" t="n"/>
    </row>
    <row r="31" ht="26.4" customHeight="1">
      <c r="B31" s="195" t="inlineStr">
        <is>
          <t>나노</t>
        </is>
      </c>
      <c r="C31" s="68" t="inlineStr">
        <is>
          <t>IG</t>
        </is>
      </c>
      <c r="D31" s="69" t="inlineStr">
        <is>
          <t>진성 후기 볼륨 착수 · #오늘도베러 해시태그 자산화</t>
        </is>
      </c>
      <c r="E31" s="69" t="inlineStr">
        <is>
          <t>웰니스 입문형 2030</t>
        </is>
      </c>
      <c r="F31" s="70" t="inlineStr">
        <is>
          <t>#올더베러 #오늘도베러 #웰니스입문</t>
        </is>
      </c>
      <c r="G31" s="71" t="n">
        <v>24</v>
      </c>
      <c r="H31" s="258" t="n">
        <v>250000</v>
      </c>
      <c r="I31" s="258" t="n"/>
      <c r="J31" s="258" t="n"/>
      <c r="K31" s="258" t="n">
        <v>0</v>
      </c>
      <c r="L31" s="259" t="n"/>
      <c r="M31" s="259" t="n"/>
      <c r="N31" s="259" t="n"/>
      <c r="O31" s="260" t="n"/>
      <c r="P31" s="260" t="n"/>
    </row>
    <row r="32">
      <c r="B32" s="195" t="inlineStr">
        <is>
          <t>KOL 무가시딩</t>
        </is>
      </c>
      <c r="C32" s="68" t="inlineStr">
        <is>
          <t>IG·YT</t>
        </is>
      </c>
      <c r="D32" s="73" t="inlineStr">
        <is>
          <t>웰니스 코어 KOL 관계 형성·자발 콘텐츠</t>
        </is>
      </c>
      <c r="E32" s="73" t="inlineStr">
        <is>
          <t>30대 웰니스 KOL</t>
        </is>
      </c>
      <c r="F32" s="74" t="inlineStr">
        <is>
          <t>#올더베러 #오늘도베러</t>
        </is>
      </c>
      <c r="G32" s="71" t="n">
        <v>10</v>
      </c>
      <c r="H32" s="258" t="n">
        <v>100000</v>
      </c>
      <c r="I32" s="258" t="n"/>
      <c r="J32" s="258" t="n"/>
      <c r="K32" s="258" t="n">
        <v>0</v>
      </c>
      <c r="L32" s="259" t="n"/>
      <c r="M32" s="259" t="n"/>
      <c r="N32" s="259" t="n"/>
      <c r="O32" s="260" t="n"/>
      <c r="P32" s="260" t="n"/>
    </row>
    <row r="33" ht="26.4" customHeight="1">
      <c r="B33" s="195" t="inlineStr">
        <is>
          <t>EGC 콘텐츠</t>
        </is>
      </c>
      <c r="C33" s="68" t="inlineStr">
        <is>
          <t>IG·TT</t>
        </is>
      </c>
      <c r="D33" s="73" t="inlineStr">
        <is>
          <t>직원 피셜 — 올리브오일 ‘이 스펙 이 가격’ 신뢰형</t>
        </is>
      </c>
      <c r="E33" s="73" t="inlineStr">
        <is>
          <t>정보 신뢰 구매고려층</t>
        </is>
      </c>
      <c r="F33" s="74" t="inlineStr">
        <is>
          <t>#올더베러 #직원피셜 #오늘도베러</t>
        </is>
      </c>
      <c r="G33" s="71" t="n">
        <v>2</v>
      </c>
      <c r="H33" s="261" t="n">
        <v>1000000</v>
      </c>
      <c r="I33" s="261" t="n"/>
      <c r="J33" s="261" t="n"/>
      <c r="K33" s="261" t="n">
        <v>0</v>
      </c>
      <c r="L33" s="262" t="n"/>
      <c r="M33" s="262" t="n"/>
      <c r="N33" s="262" t="n"/>
      <c r="O33" s="263" t="n"/>
      <c r="P33" s="263" t="n"/>
    </row>
    <row r="34" ht="26.4" customHeight="1">
      <c r="B34" s="195" t="inlineStr">
        <is>
          <t>Half EGC 콘텐츠</t>
        </is>
      </c>
      <c r="C34" s="68" t="inlineStr">
        <is>
          <t>IG·TT</t>
        </is>
      </c>
      <c r="D34" s="69" t="inlineStr">
        <is>
          <t>건기식 정보+공감 (루테인 모니터 앞 직장인)</t>
        </is>
      </c>
      <c r="E34" s="69" t="inlineStr">
        <is>
          <t>건기식 관심 직장인</t>
        </is>
      </c>
      <c r="F34" s="70" t="inlineStr">
        <is>
          <t>#올더베러 #웰니스루틴 #오늘도베러</t>
        </is>
      </c>
      <c r="G34" s="71" t="n">
        <v>1</v>
      </c>
      <c r="H34" s="258" t="n">
        <v>1250000</v>
      </c>
      <c r="I34" s="258" t="n"/>
      <c r="J34" s="258" t="n"/>
      <c r="K34" s="258" t="n">
        <v>0</v>
      </c>
      <c r="L34" s="259" t="n"/>
      <c r="M34" s="259" t="n"/>
      <c r="N34" s="259" t="n"/>
      <c r="O34" s="260" t="n"/>
      <c r="P34" s="260" t="n"/>
    </row>
    <row r="35" ht="26.4" customHeight="1">
      <c r="B35" s="195" t="inlineStr">
        <is>
          <t>어필리에이트</t>
        </is>
      </c>
      <c r="C35" s="68" t="inlineStr">
        <is>
          <t>올영 쇼핑 큐레이터</t>
        </is>
      </c>
      <c r="D35" s="69" t="inlineStr">
        <is>
          <t>올영 쇼핑 큐레이터 풀 구축·앱 내 동선 세팅</t>
        </is>
      </c>
      <c r="E35" s="69" t="inlineStr">
        <is>
          <t>세일즈 경험 크리에이터</t>
        </is>
      </c>
      <c r="F35" s="70" t="inlineStr">
        <is>
          <t>#올영세일 #장바구니 #올리브영 #올리브베러 #올더베러</t>
        </is>
      </c>
      <c r="G35" s="71" t="n">
        <v>10</v>
      </c>
      <c r="H35" s="258" t="n">
        <v>100000</v>
      </c>
      <c r="I35" s="258" t="n"/>
      <c r="J35" s="258" t="n"/>
      <c r="K35" s="258" t="n">
        <v>0</v>
      </c>
      <c r="L35" s="259" t="n"/>
      <c r="M35" s="259" t="n"/>
      <c r="N35" s="259" t="n"/>
      <c r="O35" s="260" t="n"/>
      <c r="P35" s="260" t="n"/>
    </row>
    <row r="36">
      <c r="B36" s="195" t="inlineStr">
        <is>
          <t>콘텐츠 제작 (KV·영상·이미지)</t>
        </is>
      </c>
      <c r="C36" s="68" t="inlineStr">
        <is>
          <t>제작</t>
        </is>
      </c>
      <c r="D36" s="69" t="inlineStr">
        <is>
          <t>브랜드 KV·기본 소재 제작</t>
        </is>
      </c>
      <c r="E36" s="69" t="inlineStr">
        <is>
          <t>—</t>
        </is>
      </c>
      <c r="F36" s="70" t="inlineStr">
        <is>
          <t>—</t>
        </is>
      </c>
      <c r="G36" s="71" t="n">
        <v>1</v>
      </c>
      <c r="H36" s="258" t="n">
        <v>1550000</v>
      </c>
      <c r="I36" s="258" t="n"/>
      <c r="J36" s="258" t="n"/>
      <c r="K36" s="258" t="n">
        <v>0</v>
      </c>
      <c r="L36" s="259" t="n"/>
      <c r="M36" s="259" t="n"/>
      <c r="N36" s="259" t="n"/>
      <c r="O36" s="260" t="n"/>
      <c r="P36" s="260" t="n"/>
    </row>
    <row r="37" ht="18" customHeight="1" thickBot="1">
      <c r="B37" s="80" t="inlineStr">
        <is>
          <t>7월 소계</t>
        </is>
      </c>
      <c r="C37" s="81" t="n"/>
      <c r="D37" s="190" t="n"/>
      <c r="E37" s="190" t="n"/>
      <c r="F37" s="191" t="n"/>
      <c r="G37" s="35">
        <f>SUM(G30:G36)</f>
        <v/>
      </c>
      <c r="H37" s="36" t="n"/>
      <c r="I37" s="36" t="n"/>
      <c r="J37" s="36" t="n"/>
      <c r="K37" s="264">
        <f>SUM(K30:K36)</f>
        <v/>
      </c>
      <c r="L37" s="265" t="n"/>
      <c r="M37" s="265" t="n"/>
      <c r="N37" s="265" t="n"/>
      <c r="O37" s="266" t="n"/>
      <c r="P37" s="266" t="n"/>
    </row>
    <row r="38" ht="18" customHeight="1" thickBot="1">
      <c r="B38" s="93" t="n"/>
      <c r="F38" s="94" t="n"/>
      <c r="G38" s="95" t="n"/>
      <c r="H38" s="96" t="n"/>
      <c r="I38" s="96" t="n"/>
      <c r="J38" s="96" t="n"/>
      <c r="K38" s="267" t="n"/>
      <c r="L38" s="268" t="n"/>
      <c r="M38" s="268" t="n"/>
      <c r="N38" s="268" t="n"/>
      <c r="O38" s="260" t="n"/>
      <c r="P38" s="260" t="n"/>
    </row>
    <row r="39" ht="18" customHeight="1" thickBot="1">
      <c r="B39" s="29" t="inlineStr">
        <is>
          <t>항목</t>
        </is>
      </c>
      <c r="C39" s="30" t="inlineStr">
        <is>
          <t>채널</t>
        </is>
      </c>
      <c r="D39" s="30" t="inlineStr">
        <is>
          <t>캠페인 및 활용 목적 / 앵글</t>
        </is>
      </c>
      <c r="E39" s="30" t="inlineStr">
        <is>
          <t>타겟 페르소나</t>
        </is>
      </c>
      <c r="F39" s="30" t="inlineStr">
        <is>
          <t>필수 해시태그</t>
        </is>
      </c>
      <c r="G39" s="31" t="inlineStr">
        <is>
          <t>목표수량</t>
        </is>
      </c>
      <c r="H39" s="32" t="inlineStr">
        <is>
          <t>단가</t>
        </is>
      </c>
      <c r="I39" s="32" t="n"/>
      <c r="J39" s="32" t="n"/>
      <c r="K39" s="32" t="inlineStr">
        <is>
          <t>마크업(20%)</t>
        </is>
      </c>
      <c r="L39" s="118" t="n"/>
      <c r="M39" s="118" t="n"/>
      <c r="N39" s="118" t="n"/>
      <c r="O39" s="130" t="n"/>
      <c r="P39" s="130" t="n"/>
    </row>
    <row r="40">
      <c r="B40" s="38" t="inlineStr">
        <is>
          <t xml:space="preserve">  ▣ 8월 · 세일 사전 부스팅 (1차 웨이브)   —   올영세일 前 인지·각인 확산 + 선택 증거 확보 · 타겟: 입문형+루틴형</t>
        </is>
      </c>
      <c r="C40" s="82" t="n"/>
      <c r="D40" s="189" t="n"/>
      <c r="E40" s="189" t="n"/>
      <c r="F40" s="189" t="n"/>
      <c r="G40" s="82" t="n"/>
      <c r="H40" s="189" t="n"/>
      <c r="I40" s="189" t="n"/>
      <c r="J40" s="189" t="n"/>
      <c r="K40" s="189" t="n"/>
      <c r="L40" s="189" t="n"/>
      <c r="M40" s="189" t="n"/>
      <c r="N40" s="189" t="n"/>
    </row>
    <row r="41">
      <c r="B41" s="195" t="inlineStr">
        <is>
          <t>마이크로 (UGC)</t>
        </is>
      </c>
      <c r="C41" s="196" t="inlineStr">
        <is>
          <t>IG·TT</t>
        </is>
      </c>
      <c r="D41" s="197" t="inlineStr">
        <is>
          <t>위닝 메시지 대량 확산 — 세일 1주 전 집중</t>
        </is>
      </c>
      <c r="E41" s="197" t="inlineStr">
        <is>
          <t>직장인 루틴형 2535</t>
        </is>
      </c>
      <c r="F41" s="198" t="inlineStr">
        <is>
          <t>#올더베러 #오늘도베러</t>
        </is>
      </c>
      <c r="G41" s="199" t="n">
        <v>40</v>
      </c>
      <c r="H41" s="269" t="n">
        <v>500000</v>
      </c>
      <c r="I41" s="258" t="n"/>
      <c r="J41" s="258" t="n"/>
      <c r="K41" s="269" t="n">
        <v>0</v>
      </c>
      <c r="L41" s="259" t="n"/>
      <c r="M41" s="259" t="n"/>
      <c r="N41" s="259" t="n"/>
      <c r="O41" s="260" t="n"/>
      <c r="P41" s="260" t="n"/>
    </row>
    <row r="42" ht="26.4" customHeight="1">
      <c r="B42" s="195" t="inlineStr">
        <is>
          <t>나노</t>
        </is>
      </c>
      <c r="C42" s="196" t="inlineStr">
        <is>
          <t>IG</t>
        </is>
      </c>
      <c r="D42" s="197" t="inlineStr">
        <is>
          <t>다수 진성 후기로 ‘많이 보이는 제품’ 인식 형성</t>
        </is>
      </c>
      <c r="E42" s="197" t="inlineStr">
        <is>
          <t>웰니스 입문형 2030</t>
        </is>
      </c>
      <c r="F42" s="198" t="inlineStr">
        <is>
          <t>#올더베러 #오늘도베러 #웰니스입문</t>
        </is>
      </c>
      <c r="G42" s="199" t="n">
        <v>47</v>
      </c>
      <c r="H42" s="269" t="n">
        <v>250000</v>
      </c>
      <c r="I42" s="258" t="n"/>
      <c r="J42" s="258" t="n"/>
      <c r="K42" s="269" t="n">
        <v>0</v>
      </c>
      <c r="L42" s="259" t="n"/>
      <c r="M42" s="259" t="n"/>
      <c r="N42" s="259" t="n"/>
      <c r="O42" s="260" t="n"/>
      <c r="P42" s="260" t="n"/>
    </row>
    <row r="43">
      <c r="B43" s="195" t="inlineStr">
        <is>
          <t>매크로</t>
        </is>
      </c>
      <c r="C43" s="196" t="inlineStr">
        <is>
          <t>IG·TT·YT</t>
        </is>
      </c>
      <c r="D43" s="76" t="inlineStr">
        <is>
          <t>세일 대세감 점화·도달 확대</t>
        </is>
      </c>
      <c r="E43" s="76" t="inlineStr">
        <is>
          <t>헬시플레저 광역 2040+</t>
        </is>
      </c>
      <c r="F43" s="77" t="inlineStr">
        <is>
          <t>#올더베러 #올영세일</t>
        </is>
      </c>
      <c r="G43" s="199" t="n">
        <v>5</v>
      </c>
      <c r="H43" s="269" t="n">
        <v>800000</v>
      </c>
      <c r="I43" s="258" t="n"/>
      <c r="J43" s="258" t="n"/>
      <c r="K43" s="269" t="n">
        <v>0</v>
      </c>
      <c r="L43" s="259" t="n"/>
      <c r="M43" s="259" t="n"/>
      <c r="N43" s="259" t="n"/>
      <c r="O43" s="260" t="n"/>
      <c r="P43" s="260" t="n"/>
    </row>
    <row r="44">
      <c r="B44" s="195" t="inlineStr">
        <is>
          <t>KOL 무가시딩</t>
        </is>
      </c>
      <c r="C44" s="196" t="inlineStr">
        <is>
          <t>IG·YT</t>
        </is>
      </c>
      <c r="D44" s="76" t="inlineStr">
        <is>
          <t>오가닉 콘텐츠 확대</t>
        </is>
      </c>
      <c r="E44" s="76" t="inlineStr">
        <is>
          <t>30대 웰니스 KOL</t>
        </is>
      </c>
      <c r="F44" s="77" t="inlineStr">
        <is>
          <t>#올더베러 #오늘도베러</t>
        </is>
      </c>
      <c r="G44" s="199" t="n">
        <v>10</v>
      </c>
      <c r="H44" s="270" t="n">
        <v>100000</v>
      </c>
      <c r="I44" s="261" t="n"/>
      <c r="J44" s="261" t="n"/>
      <c r="K44" s="270" t="n">
        <v>0</v>
      </c>
      <c r="L44" s="262" t="n"/>
      <c r="M44" s="262" t="n"/>
      <c r="N44" s="262" t="n"/>
      <c r="O44" s="263" t="n"/>
      <c r="P44" s="263" t="n"/>
    </row>
    <row r="45">
      <c r="B45" s="195" t="inlineStr">
        <is>
          <t>X (트위터) 시딩</t>
        </is>
      </c>
      <c r="C45" s="196" t="inlineStr">
        <is>
          <t>X</t>
        </is>
      </c>
      <c r="D45" s="197" t="inlineStr">
        <is>
          <t>실시간 트렌드·밈 바이럴</t>
        </is>
      </c>
      <c r="E45" s="197" t="inlineStr">
        <is>
          <t>리뷰·밈 2030</t>
        </is>
      </c>
      <c r="F45" s="198" t="inlineStr">
        <is>
          <t>#올더베러 #올영템</t>
        </is>
      </c>
      <c r="G45" s="199" t="n">
        <v>5</v>
      </c>
      <c r="H45" s="269" t="n">
        <v>500000</v>
      </c>
      <c r="I45" s="258" t="n"/>
      <c r="J45" s="258" t="n"/>
      <c r="K45" s="269" t="n">
        <v>0</v>
      </c>
      <c r="L45" s="259" t="n"/>
      <c r="M45" s="259" t="n"/>
      <c r="N45" s="259" t="n"/>
      <c r="O45" s="260" t="n"/>
      <c r="P45" s="260" t="n"/>
    </row>
    <row r="46">
      <c r="B46" s="195" t="inlineStr">
        <is>
          <t>네이버 블로그</t>
        </is>
      </c>
      <c r="C46" s="196" t="inlineStr">
        <is>
          <t>Blog</t>
        </is>
      </c>
      <c r="D46" s="197" t="inlineStr">
        <is>
          <t>검색 후기·정보 탐색 상위 노출</t>
        </is>
      </c>
      <c r="E46" s="197" t="inlineStr">
        <is>
          <t>정보탐색 검색자</t>
        </is>
      </c>
      <c r="F46" s="198" t="inlineStr">
        <is>
          <t>#올더베러 #웰니스구미추천</t>
        </is>
      </c>
      <c r="G46" s="199" t="n">
        <v>5</v>
      </c>
      <c r="H46" s="269" t="n">
        <v>300000</v>
      </c>
      <c r="I46" s="258" t="n"/>
      <c r="J46" s="258" t="n"/>
      <c r="K46" s="269" t="n">
        <v>0</v>
      </c>
      <c r="L46" s="259" t="n"/>
      <c r="M46" s="259" t="n"/>
      <c r="N46" s="259" t="n"/>
      <c r="O46" s="260" t="n"/>
      <c r="P46" s="260" t="n"/>
    </row>
    <row r="47">
      <c r="B47" s="195" t="inlineStr">
        <is>
          <t>EGC 콘텐츠</t>
        </is>
      </c>
      <c r="C47" s="196" t="inlineStr">
        <is>
          <t>IG·TT</t>
        </is>
      </c>
      <c r="D47" s="197" t="inlineStr">
        <is>
          <t>제품 RTB 신뢰형 콘텐츠</t>
        </is>
      </c>
      <c r="E47" s="197" t="inlineStr">
        <is>
          <t>정보 신뢰 구매고려층</t>
        </is>
      </c>
      <c r="F47" s="198" t="inlineStr">
        <is>
          <t>#올더베러 #직원피셜</t>
        </is>
      </c>
      <c r="G47" s="199" t="n">
        <v>2</v>
      </c>
      <c r="H47" s="269" t="n">
        <v>1000000</v>
      </c>
      <c r="I47" s="258" t="n"/>
      <c r="J47" s="258" t="n"/>
      <c r="K47" s="269" t="n">
        <v>0</v>
      </c>
      <c r="L47" s="259" t="n"/>
      <c r="M47" s="259" t="n"/>
      <c r="N47" s="259" t="n"/>
      <c r="O47" s="260" t="n"/>
      <c r="P47" s="260" t="n"/>
    </row>
    <row r="48">
      <c r="B48" s="195" t="inlineStr">
        <is>
          <t>Half EGC 콘텐츠</t>
        </is>
      </c>
      <c r="C48" s="196" t="inlineStr">
        <is>
          <t>IG·TT</t>
        </is>
      </c>
      <c r="D48" s="197" t="inlineStr">
        <is>
          <t>건기식 인정 기능성 정보+공감</t>
        </is>
      </c>
      <c r="E48" s="197" t="inlineStr">
        <is>
          <t>건기식 관심 직장인</t>
        </is>
      </c>
      <c r="F48" s="198" t="inlineStr">
        <is>
          <t>#올더베러 #웰니스루틴</t>
        </is>
      </c>
      <c r="G48" s="199" t="n">
        <v>1</v>
      </c>
      <c r="H48" s="269" t="n">
        <v>1250000</v>
      </c>
      <c r="I48" s="258" t="n"/>
      <c r="J48" s="258" t="n"/>
      <c r="K48" s="269" t="n">
        <v>0</v>
      </c>
      <c r="L48" s="259" t="n"/>
      <c r="M48" s="259" t="n"/>
      <c r="N48" s="259" t="n"/>
      <c r="O48" s="260" t="n"/>
      <c r="P48" s="260" t="n"/>
    </row>
    <row r="49">
      <c r="B49" s="195" t="inlineStr">
        <is>
          <t>파워페이지</t>
        </is>
      </c>
      <c r="C49" s="196" t="inlineStr">
        <is>
          <t>SNS</t>
        </is>
      </c>
      <c r="D49" s="197" t="inlineStr">
        <is>
          <t>‘추천템’ 맥락·정보성 노출</t>
        </is>
      </c>
      <c r="E49" s="197" t="inlineStr">
        <is>
          <t>구매 고의도 검색자</t>
        </is>
      </c>
      <c r="F49" s="198" t="inlineStr">
        <is>
          <t>#올영추천템 #웰니스추천</t>
        </is>
      </c>
      <c r="G49" s="199" t="n">
        <v>3</v>
      </c>
      <c r="H49" s="269" t="n">
        <v>800000</v>
      </c>
      <c r="I49" s="258" t="n"/>
      <c r="J49" s="258" t="n"/>
      <c r="K49" s="269" t="n">
        <v>0</v>
      </c>
      <c r="L49" s="259" t="n"/>
      <c r="M49" s="259" t="n"/>
      <c r="N49" s="259" t="n"/>
      <c r="O49" s="260" t="n"/>
      <c r="P49" s="260" t="n"/>
    </row>
    <row r="50">
      <c r="B50" s="195" t="inlineStr">
        <is>
          <t>커뮤니티 체험단</t>
        </is>
      </c>
      <c r="C50" s="196" t="inlineStr">
        <is>
          <t>뷰티앱·커뮤니티</t>
        </is>
      </c>
      <c r="D50" s="197" t="inlineStr">
        <is>
          <t>체험단·어워드로 ‘검증된 후기’ 볼륨</t>
        </is>
      </c>
      <c r="E50" s="197" t="inlineStr">
        <is>
          <t>카테고리 관여 高 사용자</t>
        </is>
      </c>
      <c r="F50" s="198" t="inlineStr">
        <is>
          <t>#올리브영 #웰니스어워드</t>
        </is>
      </c>
      <c r="G50" s="199" t="n">
        <v>1</v>
      </c>
      <c r="H50" s="269" t="n">
        <v>5000000</v>
      </c>
      <c r="I50" s="258" t="n"/>
      <c r="J50" s="258" t="n"/>
      <c r="K50" s="271">
        <f>H50*G50*0.2</f>
        <v/>
      </c>
      <c r="L50" s="272" t="n"/>
      <c r="M50" s="272" t="n"/>
      <c r="N50" s="272" t="n"/>
      <c r="O50" s="260" t="n"/>
      <c r="P50" s="260" t="n"/>
    </row>
    <row r="51">
      <c r="B51" s="195" t="inlineStr">
        <is>
          <t>챌린저스</t>
        </is>
      </c>
      <c r="C51" s="196" t="inlineStr">
        <is>
          <t>챌린저스 앱</t>
        </is>
      </c>
      <c r="D51" s="197" t="inlineStr">
        <is>
          <t>구매·리뷰 인증 챌린지 가동(랭킹 빌드업)</t>
        </is>
      </c>
      <c r="E51" s="197" t="inlineStr">
        <is>
          <t>올영 액티브 유저</t>
        </is>
      </c>
      <c r="F51" s="198" t="inlineStr">
        <is>
          <t>#올영1위 #올더베러챌린지</t>
        </is>
      </c>
      <c r="G51" s="199" t="n">
        <v>1</v>
      </c>
      <c r="H51" s="269" t="n">
        <v>5000000</v>
      </c>
      <c r="I51" s="258" t="n"/>
      <c r="J51" s="258" t="n"/>
      <c r="K51" s="271">
        <f>H51*G51*0.2</f>
        <v/>
      </c>
      <c r="L51" s="272" t="n"/>
      <c r="M51" s="272" t="n"/>
      <c r="N51" s="272" t="n"/>
      <c r="O51" s="260" t="n"/>
      <c r="P51" s="260" t="n"/>
    </row>
    <row r="52">
      <c r="B52" s="195" t="inlineStr">
        <is>
          <t>어필리에이트</t>
        </is>
      </c>
      <c r="C52" s="196" t="inlineStr">
        <is>
          <t>올영 쇼핑 큐레이터</t>
        </is>
      </c>
      <c r="D52" s="76" t="inlineStr">
        <is>
          <t>앱 내 발견→구매 동선 확대</t>
        </is>
      </c>
      <c r="E52" s="76" t="inlineStr">
        <is>
          <t>세일즈 경험 크리에이터</t>
        </is>
      </c>
      <c r="F52" s="77" t="inlineStr">
        <is>
          <t>#올영세일 #장바구니</t>
        </is>
      </c>
      <c r="G52" s="199" t="n">
        <v>20</v>
      </c>
      <c r="H52" s="269" t="n">
        <v>100000</v>
      </c>
      <c r="I52" s="258" t="n"/>
      <c r="J52" s="258" t="n"/>
      <c r="K52" s="269" t="n">
        <v>0</v>
      </c>
      <c r="L52" s="259" t="n"/>
      <c r="M52" s="259" t="n"/>
      <c r="N52" s="259" t="n"/>
      <c r="O52" s="260" t="n"/>
      <c r="P52" s="260" t="n"/>
    </row>
    <row r="53">
      <c r="B53" s="85" t="inlineStr">
        <is>
          <t>콘텐츠 제작 (KV·영상·이미지)</t>
        </is>
      </c>
      <c r="C53" s="196" t="inlineStr">
        <is>
          <t>제작</t>
        </is>
      </c>
      <c r="D53" s="86" t="inlineStr">
        <is>
          <t>세일 소재·B&amp;A 컷 제작</t>
        </is>
      </c>
      <c r="E53" s="86" t="inlineStr">
        <is>
          <t>—</t>
        </is>
      </c>
      <c r="F53" s="87" t="inlineStr">
        <is>
          <t>—</t>
        </is>
      </c>
      <c r="G53" s="199" t="n">
        <v>1</v>
      </c>
      <c r="H53" s="270" t="n">
        <v>1550000</v>
      </c>
      <c r="I53" s="261" t="n"/>
      <c r="J53" s="261" t="n"/>
      <c r="K53" s="270" t="n">
        <v>0</v>
      </c>
      <c r="L53" s="262" t="n"/>
      <c r="M53" s="262" t="n"/>
      <c r="N53" s="262" t="n"/>
      <c r="O53" s="263" t="n"/>
      <c r="P53" s="263" t="n"/>
    </row>
    <row r="54" ht="18" customHeight="1" thickBot="1">
      <c r="B54" s="80" t="inlineStr">
        <is>
          <t>8월 소계</t>
        </is>
      </c>
      <c r="C54" s="81" t="n"/>
      <c r="D54" s="190" t="n"/>
      <c r="E54" s="190" t="n"/>
      <c r="F54" s="191" t="n"/>
      <c r="G54" s="35">
        <f>SUM(G41:G53)</f>
        <v/>
      </c>
      <c r="H54" s="36" t="n"/>
      <c r="I54" s="36" t="n"/>
      <c r="J54" s="36" t="n"/>
      <c r="K54" s="264">
        <f>SUM(K41:K53)</f>
        <v/>
      </c>
      <c r="L54" s="265" t="n"/>
      <c r="M54" s="265" t="n"/>
      <c r="N54" s="265" t="n"/>
      <c r="O54" s="266" t="n"/>
      <c r="P54" s="266" t="n"/>
    </row>
    <row r="55" ht="18" customHeight="1" thickBot="1">
      <c r="B55" s="93" t="n"/>
      <c r="F55" s="94" t="n"/>
      <c r="G55" s="95" t="n"/>
      <c r="H55" s="96" t="n"/>
      <c r="I55" s="96" t="n"/>
      <c r="J55" s="96" t="n"/>
      <c r="K55" s="267" t="n"/>
      <c r="L55" s="268" t="n"/>
      <c r="M55" s="268" t="n"/>
      <c r="N55" s="268" t="n"/>
      <c r="O55" s="260" t="n"/>
      <c r="P55" s="260" t="n"/>
    </row>
    <row r="56" ht="18" customHeight="1" thickBot="1">
      <c r="B56" s="29" t="inlineStr">
        <is>
          <t>항목</t>
        </is>
      </c>
      <c r="C56" s="30" t="inlineStr">
        <is>
          <t>채널</t>
        </is>
      </c>
      <c r="D56" s="30" t="inlineStr">
        <is>
          <t>캠페인 및 활용 목적 / 앵글</t>
        </is>
      </c>
      <c r="E56" s="30" t="inlineStr">
        <is>
          <t>타겟 페르소나</t>
        </is>
      </c>
      <c r="F56" s="30" t="inlineStr">
        <is>
          <t>필수 해시태그</t>
        </is>
      </c>
      <c r="G56" s="31" t="inlineStr">
        <is>
          <t>목표수량</t>
        </is>
      </c>
      <c r="H56" s="32" t="inlineStr">
        <is>
          <t>단가</t>
        </is>
      </c>
      <c r="I56" s="32" t="n"/>
      <c r="J56" s="32" t="n"/>
      <c r="K56" s="32" t="inlineStr">
        <is>
          <t>마크업(20%)</t>
        </is>
      </c>
      <c r="L56" s="118" t="n"/>
      <c r="M56" s="118" t="n"/>
      <c r="N56" s="118" t="n"/>
      <c r="O56" s="130" t="n"/>
      <c r="P56" s="130" t="n"/>
    </row>
    <row r="57">
      <c r="B57" s="38" t="inlineStr">
        <is>
          <t xml:space="preserve">  ▣ 9월 · 올영세일 1차 피크   —   확보한 증거로 구매 전환 + 카테고리 랭킹 상단 · 타겟: 실질 전환형</t>
        </is>
      </c>
      <c r="C57" s="82" t="n"/>
      <c r="D57" s="189" t="n"/>
      <c r="E57" s="189" t="n"/>
      <c r="F57" s="189" t="n"/>
      <c r="G57" s="82" t="n"/>
      <c r="H57" s="189" t="n"/>
      <c r="I57" s="189" t="n"/>
      <c r="J57" s="189" t="n"/>
      <c r="K57" s="189" t="n"/>
      <c r="L57" s="189" t="n"/>
      <c r="M57" s="189" t="n"/>
      <c r="N57" s="189" t="n"/>
    </row>
    <row r="58">
      <c r="B58" s="195" t="inlineStr">
        <is>
          <t>마이크로 (UGC)</t>
        </is>
      </c>
      <c r="C58" s="196" t="inlineStr">
        <is>
          <t>IG·TT</t>
        </is>
      </c>
      <c r="D58" s="197" t="inlineStr">
        <is>
          <t>세일 전환 소구 + ‘올영 1위’ 랭킹 결합 소재</t>
        </is>
      </c>
      <c r="E58" s="197" t="inlineStr">
        <is>
          <t>직장인 루틴형 2535</t>
        </is>
      </c>
      <c r="F58" s="198" t="inlineStr">
        <is>
          <t>#올더베러 #오늘도베러</t>
        </is>
      </c>
      <c r="G58" s="199" t="n">
        <v>24</v>
      </c>
      <c r="H58" s="269" t="n">
        <v>500000</v>
      </c>
      <c r="I58" s="258" t="n"/>
      <c r="J58" s="258" t="n"/>
      <c r="K58" s="269" t="n">
        <v>0</v>
      </c>
      <c r="L58" s="259" t="n"/>
      <c r="M58" s="259" t="n"/>
      <c r="N58" s="259" t="n"/>
      <c r="O58" s="260" t="n"/>
      <c r="P58" s="260" t="n"/>
    </row>
    <row r="59" ht="26.4" customHeight="1">
      <c r="B59" s="195" t="inlineStr">
        <is>
          <t>나노</t>
        </is>
      </c>
      <c r="C59" s="196" t="inlineStr">
        <is>
          <t>IG</t>
        </is>
      </c>
      <c r="D59" s="197" t="inlineStr">
        <is>
          <t>구매 인증·리뷰 볼륨 집중</t>
        </is>
      </c>
      <c r="E59" s="197" t="inlineStr">
        <is>
          <t>웰니스 입문형 2030</t>
        </is>
      </c>
      <c r="F59" s="198" t="inlineStr">
        <is>
          <t>#올더베러 #오늘도베러 #웰니스입문</t>
        </is>
      </c>
      <c r="G59" s="199" t="n">
        <v>28</v>
      </c>
      <c r="H59" s="269" t="n">
        <v>250000</v>
      </c>
      <c r="I59" s="258" t="n"/>
      <c r="J59" s="258" t="n"/>
      <c r="K59" s="269" t="n">
        <v>0</v>
      </c>
      <c r="L59" s="259" t="n"/>
      <c r="M59" s="259" t="n"/>
      <c r="N59" s="259" t="n"/>
      <c r="O59" s="260" t="n"/>
      <c r="P59" s="260" t="n"/>
    </row>
    <row r="60">
      <c r="B60" s="195" t="inlineStr">
        <is>
          <t>KOL 무가시딩</t>
        </is>
      </c>
      <c r="C60" s="196" t="inlineStr">
        <is>
          <t>IG·YT</t>
        </is>
      </c>
      <c r="D60" s="197" t="inlineStr">
        <is>
          <t>전환 시점 자발 후기</t>
        </is>
      </c>
      <c r="E60" s="197" t="inlineStr">
        <is>
          <t>30대 웰니스 KOL</t>
        </is>
      </c>
      <c r="F60" s="198" t="inlineStr">
        <is>
          <t>#올더베러 #오늘도베러</t>
        </is>
      </c>
      <c r="G60" s="199" t="n">
        <v>10</v>
      </c>
      <c r="H60" s="269" t="n">
        <v>100000</v>
      </c>
      <c r="I60" s="258" t="n"/>
      <c r="J60" s="258" t="n"/>
      <c r="K60" s="269" t="n">
        <v>0</v>
      </c>
      <c r="L60" s="259" t="n"/>
      <c r="M60" s="259" t="n"/>
      <c r="N60" s="259" t="n"/>
      <c r="O60" s="260" t="n"/>
      <c r="P60" s="260" t="n"/>
    </row>
    <row r="61">
      <c r="B61" s="195" t="inlineStr">
        <is>
          <t>EGC 콘텐츠</t>
        </is>
      </c>
      <c r="C61" s="196" t="inlineStr">
        <is>
          <t>IG·TT</t>
        </is>
      </c>
      <c r="D61" s="197" t="inlineStr">
        <is>
          <t>세일 클로징 신뢰 소재</t>
        </is>
      </c>
      <c r="E61" s="197" t="inlineStr">
        <is>
          <t>정보 신뢰 구매고려층</t>
        </is>
      </c>
      <c r="F61" s="198" t="inlineStr">
        <is>
          <t>#올더베러 #직원피셜</t>
        </is>
      </c>
      <c r="G61" s="199" t="n">
        <v>2</v>
      </c>
      <c r="H61" s="269" t="n">
        <v>1000000</v>
      </c>
      <c r="I61" s="258" t="n"/>
      <c r="J61" s="258" t="n"/>
      <c r="K61" s="269" t="n">
        <v>0</v>
      </c>
      <c r="L61" s="259" t="n"/>
      <c r="M61" s="259" t="n"/>
      <c r="N61" s="259" t="n"/>
      <c r="O61" s="260" t="n"/>
      <c r="P61" s="260" t="n"/>
    </row>
    <row r="62">
      <c r="B62" s="195" t="inlineStr">
        <is>
          <t>Half EGC 콘텐츠</t>
        </is>
      </c>
      <c r="C62" s="196" t="inlineStr">
        <is>
          <t>IG·TT</t>
        </is>
      </c>
      <c r="D62" s="197" t="inlineStr">
        <is>
          <t>건기식 전환 정보 콘텐츠</t>
        </is>
      </c>
      <c r="E62" s="197" t="inlineStr">
        <is>
          <t>건기식 관심 직장인</t>
        </is>
      </c>
      <c r="F62" s="198" t="inlineStr">
        <is>
          <t>#올더베러 #웰니스루틴</t>
        </is>
      </c>
      <c r="G62" s="199" t="n">
        <v>1</v>
      </c>
      <c r="H62" s="269" t="n">
        <v>1250000</v>
      </c>
      <c r="I62" s="258" t="n"/>
      <c r="J62" s="258" t="n"/>
      <c r="K62" s="269" t="n">
        <v>0</v>
      </c>
      <c r="L62" s="259" t="n"/>
      <c r="M62" s="259" t="n"/>
      <c r="N62" s="259" t="n"/>
      <c r="O62" s="260" t="n"/>
      <c r="P62" s="260" t="n"/>
    </row>
    <row r="63">
      <c r="B63" s="195" t="inlineStr">
        <is>
          <t>어필리에이트</t>
        </is>
      </c>
      <c r="C63" s="196" t="inlineStr">
        <is>
          <t>올영 쇼핑 큐레이터</t>
        </is>
      </c>
      <c r="D63" s="197" t="inlineStr">
        <is>
          <t>세일 매출·랭킹 견인</t>
        </is>
      </c>
      <c r="E63" s="197" t="inlineStr">
        <is>
          <t>세일즈 경험 크리에이터</t>
        </is>
      </c>
      <c r="F63" s="198" t="inlineStr">
        <is>
          <t>#올영세일 #장바구니</t>
        </is>
      </c>
      <c r="G63" s="199" t="n">
        <v>30</v>
      </c>
      <c r="H63" s="269" t="n">
        <v>100000</v>
      </c>
      <c r="I63" s="258" t="n"/>
      <c r="J63" s="258" t="n"/>
      <c r="K63" s="269" t="n">
        <v>0</v>
      </c>
      <c r="L63" s="259" t="n"/>
      <c r="M63" s="259" t="n"/>
      <c r="N63" s="259" t="n"/>
      <c r="O63" s="260" t="n"/>
      <c r="P63" s="260" t="n"/>
    </row>
    <row r="64">
      <c r="B64" s="195" t="inlineStr">
        <is>
          <t>콘텐츠 제작 (KV·영상·이미지)</t>
        </is>
      </c>
      <c r="C64" s="196" t="inlineStr">
        <is>
          <t>제작</t>
        </is>
      </c>
      <c r="D64" s="197" t="inlineStr">
        <is>
          <t>세일 본편·마지막날 소재</t>
        </is>
      </c>
      <c r="E64" s="197" t="inlineStr">
        <is>
          <t>—</t>
        </is>
      </c>
      <c r="F64" s="198" t="inlineStr">
        <is>
          <t>—</t>
        </is>
      </c>
      <c r="G64" s="199" t="n">
        <v>1</v>
      </c>
      <c r="H64" s="269" t="n">
        <v>1550000</v>
      </c>
      <c r="I64" s="258" t="n"/>
      <c r="J64" s="258" t="n"/>
      <c r="K64" s="269" t="n">
        <v>0</v>
      </c>
      <c r="L64" s="259" t="n"/>
      <c r="M64" s="259" t="n"/>
      <c r="N64" s="259" t="n"/>
      <c r="O64" s="260" t="n"/>
      <c r="P64" s="260" t="n"/>
    </row>
    <row r="65" ht="18" customHeight="1" thickBot="1">
      <c r="B65" s="80" t="inlineStr">
        <is>
          <t>9월 소계</t>
        </is>
      </c>
      <c r="C65" s="81" t="n"/>
      <c r="D65" s="190" t="n"/>
      <c r="E65" s="190" t="n"/>
      <c r="F65" s="191" t="n"/>
      <c r="G65" s="35">
        <f>SUM(G58:G64)</f>
        <v/>
      </c>
      <c r="H65" s="36" t="n"/>
      <c r="I65" s="36" t="n"/>
      <c r="J65" s="36" t="n"/>
      <c r="K65" s="264">
        <f>SUM(K58:K64)</f>
        <v/>
      </c>
      <c r="L65" s="265" t="n"/>
      <c r="M65" s="265" t="n"/>
      <c r="N65" s="265" t="n"/>
      <c r="O65" s="266" t="n"/>
      <c r="P65" s="266" t="n"/>
    </row>
    <row r="66" ht="18" customHeight="1" thickBot="1">
      <c r="B66" s="93" t="n"/>
      <c r="F66" s="94" t="n"/>
      <c r="G66" s="95" t="n"/>
      <c r="H66" s="96" t="n"/>
      <c r="I66" s="96" t="n"/>
      <c r="J66" s="96" t="n"/>
      <c r="K66" s="267" t="n"/>
      <c r="L66" s="268" t="n"/>
      <c r="M66" s="268" t="n"/>
      <c r="N66" s="268" t="n"/>
      <c r="O66" s="260" t="n"/>
      <c r="P66" s="260" t="n"/>
    </row>
    <row r="67" ht="18" customHeight="1" thickBot="1">
      <c r="B67" s="29" t="inlineStr">
        <is>
          <t>항목</t>
        </is>
      </c>
      <c r="C67" s="30" t="inlineStr">
        <is>
          <t>채널</t>
        </is>
      </c>
      <c r="D67" s="30" t="inlineStr">
        <is>
          <t>캠페인 및 활용 목적 / 앵글</t>
        </is>
      </c>
      <c r="E67" s="30" t="inlineStr">
        <is>
          <t>타겟 페르소나</t>
        </is>
      </c>
      <c r="F67" s="30" t="inlineStr">
        <is>
          <t>필수 해시태그</t>
        </is>
      </c>
      <c r="G67" s="31" t="inlineStr">
        <is>
          <t>목표수량</t>
        </is>
      </c>
      <c r="H67" s="32" t="inlineStr">
        <is>
          <t>단가</t>
        </is>
      </c>
      <c r="I67" s="32" t="n"/>
      <c r="J67" s="32" t="n"/>
      <c r="K67" s="32" t="inlineStr">
        <is>
          <t>마크업(20%)</t>
        </is>
      </c>
      <c r="L67" s="118" t="n"/>
      <c r="M67" s="118" t="n"/>
      <c r="N67" s="118" t="n"/>
      <c r="O67" s="130" t="n"/>
      <c r="P67" s="130" t="n"/>
    </row>
    <row r="68">
      <c r="B68" s="38" t="inlineStr">
        <is>
          <t xml:space="preserve">  ▣ 10월 · 유지 / 건기식 라인 확장   —   건기식 라인 확장 + 위닝 소재 낙수 · 타겟: 직장인 루틴형</t>
        </is>
      </c>
      <c r="C68" s="82" t="n"/>
      <c r="D68" s="189" t="n"/>
      <c r="E68" s="189" t="n"/>
      <c r="F68" s="189" t="n"/>
      <c r="G68" s="82" t="n"/>
      <c r="H68" s="189" t="n"/>
      <c r="I68" s="189" t="n"/>
      <c r="J68" s="189" t="n"/>
      <c r="K68" s="189" t="n"/>
      <c r="L68" s="189" t="n"/>
      <c r="M68" s="189" t="n"/>
      <c r="N68" s="189" t="n"/>
    </row>
    <row r="69">
      <c r="B69" s="195" t="inlineStr">
        <is>
          <t>마이크로 (UGC)</t>
        </is>
      </c>
      <c r="C69" s="196" t="inlineStr">
        <is>
          <t>IG·TT</t>
        </is>
      </c>
      <c r="D69" s="197" t="inlineStr">
        <is>
          <t>건기식(루테인·바나바잎·올인원) 확장 메시지 테스트</t>
        </is>
      </c>
      <c r="E69" s="197" t="inlineStr">
        <is>
          <t>직장인 루틴형 2535</t>
        </is>
      </c>
      <c r="F69" s="198" t="inlineStr">
        <is>
          <t>#올더베러 #오늘도베러</t>
        </is>
      </c>
      <c r="G69" s="199" t="n">
        <v>20</v>
      </c>
      <c r="H69" s="269" t="n">
        <v>500000</v>
      </c>
      <c r="I69" s="258" t="n"/>
      <c r="J69" s="258" t="n"/>
      <c r="K69" s="269" t="n">
        <v>0</v>
      </c>
      <c r="L69" s="259" t="n"/>
      <c r="M69" s="259" t="n"/>
      <c r="N69" s="259" t="n"/>
      <c r="O69" s="260" t="n"/>
      <c r="P69" s="260" t="n"/>
    </row>
    <row r="70" ht="26.4" customHeight="1">
      <c r="B70" s="195" t="inlineStr">
        <is>
          <t>나노</t>
        </is>
      </c>
      <c r="C70" s="196" t="inlineStr">
        <is>
          <t>IG</t>
        </is>
      </c>
      <c r="D70" s="197" t="inlineStr">
        <is>
          <t>9월 위닝 소재 낙수·후기 자산 확산</t>
        </is>
      </c>
      <c r="E70" s="197" t="inlineStr">
        <is>
          <t>웰니스 입문형 2030</t>
        </is>
      </c>
      <c r="F70" s="198" t="inlineStr">
        <is>
          <t>#올더베러 #오늘도베러 #웰니스입문</t>
        </is>
      </c>
      <c r="G70" s="199" t="n">
        <v>24</v>
      </c>
      <c r="H70" s="269" t="n">
        <v>250000</v>
      </c>
      <c r="I70" s="258" t="n"/>
      <c r="J70" s="258" t="n"/>
      <c r="K70" s="269" t="n">
        <v>0</v>
      </c>
      <c r="L70" s="259" t="n"/>
      <c r="M70" s="259" t="n"/>
      <c r="N70" s="259" t="n"/>
      <c r="O70" s="260" t="n"/>
      <c r="P70" s="260" t="n"/>
    </row>
    <row r="71">
      <c r="B71" s="195" t="inlineStr">
        <is>
          <t>KOL 무가시딩</t>
        </is>
      </c>
      <c r="C71" s="196" t="inlineStr">
        <is>
          <t>IG·YT</t>
        </is>
      </c>
      <c r="D71" s="76" t="inlineStr">
        <is>
          <t>관계형 콘텐츠 유지</t>
        </is>
      </c>
      <c r="E71" s="76" t="inlineStr">
        <is>
          <t>30대 웰니스 KOL</t>
        </is>
      </c>
      <c r="F71" s="77" t="inlineStr">
        <is>
          <t>#올더베러 #오늘도베러</t>
        </is>
      </c>
      <c r="G71" s="199" t="n">
        <v>10</v>
      </c>
      <c r="H71" s="269" t="n">
        <v>100000</v>
      </c>
      <c r="I71" s="258" t="n"/>
      <c r="J71" s="258" t="n"/>
      <c r="K71" s="269" t="n">
        <v>0</v>
      </c>
      <c r="L71" s="259" t="n"/>
      <c r="M71" s="259" t="n"/>
      <c r="N71" s="259" t="n"/>
      <c r="O71" s="260" t="n"/>
      <c r="P71" s="260" t="n"/>
    </row>
    <row r="72">
      <c r="B72" s="195" t="inlineStr">
        <is>
          <t>EGC 콘텐츠</t>
        </is>
      </c>
      <c r="C72" s="196" t="inlineStr">
        <is>
          <t>IG·TT</t>
        </is>
      </c>
      <c r="D72" s="76" t="inlineStr">
        <is>
          <t>건기식 라인 신뢰 콘텐츠</t>
        </is>
      </c>
      <c r="E72" s="76" t="inlineStr">
        <is>
          <t>정보 신뢰 구매고려층</t>
        </is>
      </c>
      <c r="F72" s="77" t="inlineStr">
        <is>
          <t>#올더베러 #직원피셜</t>
        </is>
      </c>
      <c r="G72" s="199" t="n">
        <v>2</v>
      </c>
      <c r="H72" s="270" t="n">
        <v>1000000</v>
      </c>
      <c r="I72" s="261" t="n"/>
      <c r="J72" s="261" t="n"/>
      <c r="K72" s="270" t="n">
        <v>0</v>
      </c>
      <c r="L72" s="262" t="n"/>
      <c r="M72" s="262" t="n"/>
      <c r="N72" s="262" t="n"/>
      <c r="O72" s="263" t="n"/>
      <c r="P72" s="263" t="n"/>
    </row>
    <row r="73">
      <c r="B73" s="195" t="inlineStr">
        <is>
          <t>Half EGC 콘텐츠</t>
        </is>
      </c>
      <c r="C73" s="196" t="inlineStr">
        <is>
          <t>IG·TT</t>
        </is>
      </c>
      <c r="D73" s="197" t="inlineStr">
        <is>
          <t>건기식 정보+공감 확장</t>
        </is>
      </c>
      <c r="E73" s="197" t="inlineStr">
        <is>
          <t>건기식 관심 직장인</t>
        </is>
      </c>
      <c r="F73" s="198" t="inlineStr">
        <is>
          <t>#올더베러 #웰니스루틴</t>
        </is>
      </c>
      <c r="G73" s="199" t="n">
        <v>1</v>
      </c>
      <c r="H73" s="269" t="n">
        <v>1250000</v>
      </c>
      <c r="I73" s="258" t="n"/>
      <c r="J73" s="258" t="n"/>
      <c r="K73" s="269" t="n">
        <v>0</v>
      </c>
      <c r="L73" s="259" t="n"/>
      <c r="M73" s="259" t="n"/>
      <c r="N73" s="259" t="n"/>
      <c r="O73" s="260" t="n"/>
      <c r="P73" s="260" t="n"/>
    </row>
    <row r="74">
      <c r="B74" s="195" t="inlineStr">
        <is>
          <t>어필리에이트</t>
        </is>
      </c>
      <c r="C74" s="196" t="inlineStr">
        <is>
          <t>올영 쇼핑 큐레이터</t>
        </is>
      </c>
      <c r="D74" s="197" t="inlineStr">
        <is>
          <t>상시 전환 동선 유지</t>
        </is>
      </c>
      <c r="E74" s="197" t="inlineStr">
        <is>
          <t>세일즈 경험 크리에이터</t>
        </is>
      </c>
      <c r="F74" s="198" t="inlineStr">
        <is>
          <t>#올영세일 #장바구니</t>
        </is>
      </c>
      <c r="G74" s="199" t="n">
        <v>40</v>
      </c>
      <c r="H74" s="269" t="n">
        <v>100000</v>
      </c>
      <c r="I74" s="258" t="n"/>
      <c r="J74" s="258" t="n"/>
      <c r="K74" s="269" t="n">
        <v>0</v>
      </c>
      <c r="L74" s="259" t="n"/>
      <c r="M74" s="259" t="n"/>
      <c r="N74" s="259" t="n"/>
      <c r="O74" s="260" t="n"/>
      <c r="P74" s="260" t="n"/>
    </row>
    <row r="75">
      <c r="B75" s="195" t="inlineStr">
        <is>
          <t>콘텐츠 제작 (KV·영상·이미지)</t>
        </is>
      </c>
      <c r="C75" s="196" t="inlineStr">
        <is>
          <t>제작</t>
        </is>
      </c>
      <c r="D75" s="197" t="inlineStr">
        <is>
          <t>건기식 라인 소재 제작</t>
        </is>
      </c>
      <c r="E75" s="197" t="inlineStr">
        <is>
          <t>—</t>
        </is>
      </c>
      <c r="F75" s="198" t="inlineStr">
        <is>
          <t>—</t>
        </is>
      </c>
      <c r="G75" s="199" t="n">
        <v>1</v>
      </c>
      <c r="H75" s="269" t="n">
        <v>1550000</v>
      </c>
      <c r="I75" s="258" t="n"/>
      <c r="J75" s="258" t="n"/>
      <c r="K75" s="269" t="n">
        <v>0</v>
      </c>
      <c r="L75" s="259" t="n"/>
      <c r="M75" s="259" t="n"/>
      <c r="N75" s="259" t="n"/>
      <c r="O75" s="260" t="n"/>
      <c r="P75" s="260" t="n"/>
    </row>
    <row r="76" ht="18" customHeight="1" thickBot="1">
      <c r="B76" s="80" t="inlineStr">
        <is>
          <t>10월 소계</t>
        </is>
      </c>
      <c r="C76" s="81" t="n"/>
      <c r="D76" s="190" t="n"/>
      <c r="E76" s="190" t="n"/>
      <c r="F76" s="191" t="n"/>
      <c r="G76" s="35">
        <f>SUM(G69:G75)</f>
        <v/>
      </c>
      <c r="H76" s="36" t="n"/>
      <c r="I76" s="36" t="n"/>
      <c r="J76" s="36" t="n"/>
      <c r="K76" s="264">
        <f>SUM(K69:K75)</f>
        <v/>
      </c>
      <c r="L76" s="265" t="n"/>
      <c r="M76" s="265" t="n"/>
      <c r="N76" s="265" t="n"/>
      <c r="O76" s="266" t="n"/>
      <c r="P76" s="266" t="n"/>
    </row>
    <row r="77" ht="18" customHeight="1" thickBot="1">
      <c r="B77" s="93" t="n"/>
      <c r="F77" s="94" t="n"/>
      <c r="G77" s="95" t="n"/>
      <c r="H77" s="96" t="n"/>
      <c r="I77" s="96" t="n"/>
      <c r="J77" s="96" t="n"/>
      <c r="K77" s="267" t="n"/>
      <c r="L77" s="268" t="n"/>
      <c r="M77" s="268" t="n"/>
      <c r="N77" s="268" t="n"/>
      <c r="O77" s="260" t="n"/>
      <c r="P77" s="260" t="n"/>
    </row>
    <row r="78" ht="18" customHeight="1" thickBot="1">
      <c r="B78" s="29" t="inlineStr">
        <is>
          <t>항목</t>
        </is>
      </c>
      <c r="C78" s="30" t="inlineStr">
        <is>
          <t>채널</t>
        </is>
      </c>
      <c r="D78" s="30" t="inlineStr">
        <is>
          <t>캠페인 및 활용 목적 / 앵글</t>
        </is>
      </c>
      <c r="E78" s="30" t="inlineStr">
        <is>
          <t>타겟 페르소나</t>
        </is>
      </c>
      <c r="F78" s="30" t="inlineStr">
        <is>
          <t>필수 해시태그</t>
        </is>
      </c>
      <c r="G78" s="31" t="inlineStr">
        <is>
          <t>목표수량</t>
        </is>
      </c>
      <c r="H78" s="32" t="inlineStr">
        <is>
          <t>단가</t>
        </is>
      </c>
      <c r="I78" s="32" t="n"/>
      <c r="J78" s="32" t="n"/>
      <c r="K78" s="32" t="inlineStr">
        <is>
          <t>마크업(20%)</t>
        </is>
      </c>
      <c r="L78" s="118" t="n"/>
      <c r="M78" s="118" t="n"/>
      <c r="N78" s="118" t="n"/>
      <c r="O78" s="130" t="n"/>
      <c r="P78" s="130" t="n"/>
    </row>
    <row r="79">
      <c r="B79" s="38" t="inlineStr">
        <is>
          <t xml:space="preserve">  ▣ 11월 · 블프 (2차 웨이브)   —   재점화 — 많이 보이고 많이 찾는 브랜드 · 타겟: 입문형+루틴형</t>
        </is>
      </c>
      <c r="C79" s="82" t="n"/>
      <c r="D79" s="189" t="n"/>
      <c r="E79" s="189" t="n"/>
      <c r="F79" s="189" t="n"/>
      <c r="G79" s="82" t="n"/>
      <c r="H79" s="189" t="n"/>
      <c r="I79" s="189" t="n"/>
      <c r="J79" s="189" t="n"/>
      <c r="K79" s="189" t="n"/>
      <c r="L79" s="189" t="n"/>
      <c r="M79" s="189" t="n"/>
      <c r="N79" s="189" t="n"/>
    </row>
    <row r="80">
      <c r="B80" s="195" t="inlineStr">
        <is>
          <t>마이크로 (UGC)</t>
        </is>
      </c>
      <c r="C80" s="196" t="inlineStr">
        <is>
          <t>IG·TT</t>
        </is>
      </c>
      <c r="D80" s="197" t="inlineStr">
        <is>
          <t>블프 재점화·위닝 소재 재투입</t>
        </is>
      </c>
      <c r="E80" s="197" t="inlineStr">
        <is>
          <t>직장인 루틴형 2535</t>
        </is>
      </c>
      <c r="F80" s="198" t="inlineStr">
        <is>
          <t>#올더베러 #오늘도베러</t>
        </is>
      </c>
      <c r="G80" s="199" t="n">
        <v>28</v>
      </c>
      <c r="H80" s="269" t="n">
        <v>500000</v>
      </c>
      <c r="I80" s="258" t="n"/>
      <c r="J80" s="258" t="n"/>
      <c r="K80" s="269" t="n">
        <v>0</v>
      </c>
      <c r="L80" s="259" t="n"/>
      <c r="M80" s="259" t="n"/>
      <c r="N80" s="259" t="n"/>
      <c r="O80" s="260" t="n"/>
      <c r="P80" s="260" t="n"/>
    </row>
    <row r="81" ht="26.4" customHeight="1">
      <c r="B81" s="195" t="inlineStr">
        <is>
          <t>나노</t>
        </is>
      </c>
      <c r="C81" s="196" t="inlineStr">
        <is>
          <t>IG</t>
        </is>
      </c>
      <c r="D81" s="197" t="inlineStr">
        <is>
          <t>진성 후기 재확대·대세감</t>
        </is>
      </c>
      <c r="E81" s="197" t="inlineStr">
        <is>
          <t>웰니스 입문형 2030</t>
        </is>
      </c>
      <c r="F81" s="198" t="inlineStr">
        <is>
          <t>#올더베러 #오늘도베러 #웰니스입문</t>
        </is>
      </c>
      <c r="G81" s="199" t="n">
        <v>33</v>
      </c>
      <c r="H81" s="269" t="n">
        <v>250000</v>
      </c>
      <c r="I81" s="258" t="n"/>
      <c r="J81" s="258" t="n"/>
      <c r="K81" s="269" t="n">
        <v>0</v>
      </c>
      <c r="L81" s="259" t="n"/>
      <c r="M81" s="259" t="n"/>
      <c r="N81" s="259" t="n"/>
      <c r="O81" s="260" t="n"/>
      <c r="P81" s="260" t="n"/>
    </row>
    <row r="82">
      <c r="B82" s="195" t="inlineStr">
        <is>
          <t>매크로</t>
        </is>
      </c>
      <c r="C82" s="196" t="inlineStr">
        <is>
          <t>IG·TT·YT</t>
        </is>
      </c>
      <c r="D82" s="197" t="inlineStr">
        <is>
          <t>블프 대세감 점화</t>
        </is>
      </c>
      <c r="E82" s="197" t="inlineStr">
        <is>
          <t>헬시플레저 광역 4050+</t>
        </is>
      </c>
      <c r="F82" s="198" t="inlineStr">
        <is>
          <t>#올더베러 #올영세일</t>
        </is>
      </c>
      <c r="G82" s="199" t="n">
        <v>5</v>
      </c>
      <c r="H82" s="269" t="n">
        <v>800000</v>
      </c>
      <c r="I82" s="258" t="n"/>
      <c r="J82" s="258" t="n"/>
      <c r="K82" s="269" t="n">
        <v>0</v>
      </c>
      <c r="L82" s="259" t="n"/>
      <c r="M82" s="259" t="n"/>
      <c r="N82" s="259" t="n"/>
      <c r="O82" s="260" t="n"/>
      <c r="P82" s="260" t="n"/>
    </row>
    <row r="83">
      <c r="B83" s="195" t="inlineStr">
        <is>
          <t>KOL 무가시딩</t>
        </is>
      </c>
      <c r="C83" s="196" t="inlineStr">
        <is>
          <t>IG·YT</t>
        </is>
      </c>
      <c r="D83" s="197" t="inlineStr">
        <is>
          <t>오가닉 재가동</t>
        </is>
      </c>
      <c r="E83" s="197" t="inlineStr">
        <is>
          <t>30대 웰니스 KOL</t>
        </is>
      </c>
      <c r="F83" s="198" t="inlineStr">
        <is>
          <t>#올더베러 #오늘도베러</t>
        </is>
      </c>
      <c r="G83" s="199" t="n">
        <v>10</v>
      </c>
      <c r="H83" s="269" t="n">
        <v>100000</v>
      </c>
      <c r="I83" s="258" t="n"/>
      <c r="J83" s="258" t="n"/>
      <c r="K83" s="269" t="n">
        <v>0</v>
      </c>
      <c r="L83" s="259" t="n"/>
      <c r="M83" s="259" t="n"/>
      <c r="N83" s="259" t="n"/>
      <c r="O83" s="260" t="n"/>
      <c r="P83" s="260" t="n"/>
    </row>
    <row r="84">
      <c r="B84" s="195" t="inlineStr">
        <is>
          <t>X (트위터) 시딩</t>
        </is>
      </c>
      <c r="C84" s="196" t="inlineStr">
        <is>
          <t>X</t>
        </is>
      </c>
      <c r="D84" s="197" t="inlineStr">
        <is>
          <t>실시간 트렌드 바이럴</t>
        </is>
      </c>
      <c r="E84" s="197" t="inlineStr">
        <is>
          <t>리뷰·밈 2030</t>
        </is>
      </c>
      <c r="F84" s="198" t="inlineStr">
        <is>
          <t>#올더베러 #올영템</t>
        </is>
      </c>
      <c r="G84" s="199" t="n">
        <v>5</v>
      </c>
      <c r="H84" s="269" t="n">
        <v>500000</v>
      </c>
      <c r="I84" s="258" t="n"/>
      <c r="J84" s="258" t="n"/>
      <c r="K84" s="269" t="n">
        <v>0</v>
      </c>
      <c r="L84" s="259" t="n"/>
      <c r="M84" s="259" t="n"/>
      <c r="N84" s="259" t="n"/>
      <c r="O84" s="260" t="n"/>
      <c r="P84" s="260" t="n"/>
    </row>
    <row r="85">
      <c r="B85" s="195" t="inlineStr">
        <is>
          <t>네이버 블로그</t>
        </is>
      </c>
      <c r="C85" s="196" t="inlineStr">
        <is>
          <t>Blog</t>
        </is>
      </c>
      <c r="D85" s="197" t="inlineStr">
        <is>
          <t>검색 상위·추천 점유</t>
        </is>
      </c>
      <c r="E85" s="197" t="inlineStr">
        <is>
          <t>정보탐색 검색자</t>
        </is>
      </c>
      <c r="F85" s="198" t="inlineStr">
        <is>
          <t>#올더베러 #웰니스구미추천</t>
        </is>
      </c>
      <c r="G85" s="199" t="n">
        <v>5</v>
      </c>
      <c r="H85" s="269" t="n">
        <v>300000</v>
      </c>
      <c r="I85" s="258" t="n"/>
      <c r="J85" s="258" t="n"/>
      <c r="K85" s="269" t="n">
        <v>0</v>
      </c>
      <c r="L85" s="259" t="n"/>
      <c r="M85" s="259" t="n"/>
      <c r="N85" s="259" t="n"/>
      <c r="O85" s="260" t="n"/>
      <c r="P85" s="260" t="n"/>
    </row>
    <row r="86">
      <c r="B86" s="195" t="inlineStr">
        <is>
          <t>EGC 콘텐츠</t>
        </is>
      </c>
      <c r="C86" s="196" t="inlineStr">
        <is>
          <t>IG·TT</t>
        </is>
      </c>
      <c r="D86" s="197" t="inlineStr">
        <is>
          <t>RTB+혜택 결합 소재</t>
        </is>
      </c>
      <c r="E86" s="197" t="inlineStr">
        <is>
          <t>정보 신뢰 구매고려층</t>
        </is>
      </c>
      <c r="F86" s="198" t="inlineStr">
        <is>
          <t>#올더베러 #직원피셜</t>
        </is>
      </c>
      <c r="G86" s="199" t="n">
        <v>2</v>
      </c>
      <c r="H86" s="269" t="n">
        <v>1000000</v>
      </c>
      <c r="I86" s="258" t="n"/>
      <c r="J86" s="258" t="n"/>
      <c r="K86" s="269" t="n">
        <v>0</v>
      </c>
      <c r="L86" s="259" t="n"/>
      <c r="M86" s="259" t="n"/>
      <c r="N86" s="259" t="n"/>
      <c r="O86" s="260" t="n"/>
      <c r="P86" s="260" t="n"/>
    </row>
    <row r="87">
      <c r="B87" s="195" t="inlineStr">
        <is>
          <t>Half EGC 콘텐츠</t>
        </is>
      </c>
      <c r="C87" s="196" t="inlineStr">
        <is>
          <t>IG·TT</t>
        </is>
      </c>
      <c r="D87" s="76" t="inlineStr">
        <is>
          <t>건기식 정보 콘텐츠</t>
        </is>
      </c>
      <c r="E87" s="76" t="inlineStr">
        <is>
          <t>건기식 관심 직장인</t>
        </is>
      </c>
      <c r="F87" s="77" t="inlineStr">
        <is>
          <t>#올더베러 #웰니스루틴</t>
        </is>
      </c>
      <c r="G87" s="199" t="n">
        <v>1</v>
      </c>
      <c r="H87" s="269" t="n">
        <v>1250000</v>
      </c>
      <c r="I87" s="258" t="n"/>
      <c r="J87" s="258" t="n"/>
      <c r="K87" s="269" t="n">
        <v>0</v>
      </c>
      <c r="L87" s="259" t="n"/>
      <c r="M87" s="259" t="n"/>
      <c r="N87" s="259" t="n"/>
      <c r="O87" s="260" t="n"/>
      <c r="P87" s="260" t="n"/>
    </row>
    <row r="88">
      <c r="B88" s="195" t="inlineStr">
        <is>
          <t>파워페이지</t>
        </is>
      </c>
      <c r="C88" s="196" t="inlineStr">
        <is>
          <t>SNS</t>
        </is>
      </c>
      <c r="D88" s="76" t="inlineStr">
        <is>
          <t>추천 맥락 재노출</t>
        </is>
      </c>
      <c r="E88" s="76" t="inlineStr">
        <is>
          <t>구매 고의도 검색자</t>
        </is>
      </c>
      <c r="F88" s="77" t="inlineStr">
        <is>
          <t>#올영추천템 #웰니스추천</t>
        </is>
      </c>
      <c r="G88" s="199" t="n">
        <v>3</v>
      </c>
      <c r="H88" s="269" t="n">
        <v>800000</v>
      </c>
      <c r="I88" s="258" t="n"/>
      <c r="J88" s="258" t="n"/>
      <c r="K88" s="269" t="n">
        <v>0</v>
      </c>
      <c r="L88" s="259" t="n"/>
      <c r="M88" s="259" t="n"/>
      <c r="N88" s="259" t="n"/>
      <c r="O88" s="260" t="n"/>
      <c r="P88" s="260" t="n"/>
    </row>
    <row r="89">
      <c r="B89" s="195" t="inlineStr">
        <is>
          <t>커뮤니티 체험단</t>
        </is>
      </c>
      <c r="C89" s="196" t="inlineStr">
        <is>
          <t>뷰티앱·커뮤니티</t>
        </is>
      </c>
      <c r="D89" s="197" t="inlineStr">
        <is>
          <t>검증 후기 보강</t>
        </is>
      </c>
      <c r="E89" s="197" t="inlineStr">
        <is>
          <t>카테고리 관여 高 사용자</t>
        </is>
      </c>
      <c r="F89" s="198" t="inlineStr">
        <is>
          <t>#올리브영 #웰니스어워드</t>
        </is>
      </c>
      <c r="G89" s="199" t="n">
        <v>1</v>
      </c>
      <c r="H89" s="270" t="n">
        <v>5000000</v>
      </c>
      <c r="I89" s="261" t="n"/>
      <c r="J89" s="261" t="n"/>
      <c r="K89" s="273">
        <f>H89*G89*0.2</f>
        <v/>
      </c>
      <c r="L89" s="274" t="n"/>
      <c r="M89" s="274" t="n"/>
      <c r="N89" s="274" t="n"/>
      <c r="O89" s="260" t="n"/>
      <c r="P89" s="260" t="n"/>
    </row>
    <row r="90">
      <c r="B90" s="195" t="inlineStr">
        <is>
          <t>챌린저스</t>
        </is>
      </c>
      <c r="C90" s="196" t="inlineStr">
        <is>
          <t>챌린저스 앱</t>
        </is>
      </c>
      <c r="D90" s="197" t="inlineStr">
        <is>
          <t>챌린저스 2차·신뢰 자산 보강</t>
        </is>
      </c>
      <c r="E90" s="197" t="inlineStr">
        <is>
          <t>올영 액티브 유저</t>
        </is>
      </c>
      <c r="F90" s="198" t="inlineStr">
        <is>
          <t>#올영1위 #올더베러챌린지</t>
        </is>
      </c>
      <c r="G90" s="199" t="n">
        <v>1</v>
      </c>
      <c r="H90" s="270" t="n">
        <v>5000000</v>
      </c>
      <c r="I90" s="261" t="n"/>
      <c r="J90" s="261" t="n"/>
      <c r="K90" s="273">
        <f>H90*G90*0.2</f>
        <v/>
      </c>
      <c r="L90" s="274" t="n"/>
      <c r="M90" s="274" t="n"/>
      <c r="N90" s="274" t="n"/>
      <c r="O90" s="260" t="n"/>
      <c r="P90" s="260" t="n"/>
    </row>
    <row r="91">
      <c r="B91" s="195" t="inlineStr">
        <is>
          <t>어필리에이트</t>
        </is>
      </c>
      <c r="C91" s="196" t="inlineStr">
        <is>
          <t>올영 쇼핑 큐레이터</t>
        </is>
      </c>
      <c r="D91" s="197" t="inlineStr">
        <is>
          <t>블프 전환 견인</t>
        </is>
      </c>
      <c r="E91" s="197" t="inlineStr">
        <is>
          <t>세일즈 경험 크리에이터</t>
        </is>
      </c>
      <c r="F91" s="198" t="inlineStr">
        <is>
          <t>#올영세일 #장바구니</t>
        </is>
      </c>
      <c r="G91" s="199" t="n">
        <v>50</v>
      </c>
      <c r="H91" s="269" t="n">
        <v>100000</v>
      </c>
      <c r="I91" s="258" t="n"/>
      <c r="J91" s="258" t="n"/>
      <c r="K91" s="269" t="n">
        <v>0</v>
      </c>
      <c r="L91" s="259" t="n"/>
      <c r="M91" s="259" t="n"/>
      <c r="N91" s="259" t="n"/>
      <c r="O91" s="260" t="n"/>
      <c r="P91" s="260" t="n"/>
    </row>
    <row r="92">
      <c r="B92" s="195" t="inlineStr">
        <is>
          <t>콘텐츠 제작 (KV·영상·이미지)</t>
        </is>
      </c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242" t="n"/>
      <c r="O92" s="260" t="n"/>
      <c r="P92" s="260" t="n"/>
    </row>
    <row r="93" ht="18" customHeight="1" thickBot="1">
      <c r="B93" s="80" t="inlineStr">
        <is>
          <t>11월 소계</t>
        </is>
      </c>
      <c r="C93" s="81" t="n"/>
      <c r="D93" s="191" t="n"/>
      <c r="E93" s="190" t="n"/>
      <c r="F93" s="191" t="n"/>
      <c r="G93" s="35">
        <f>SUM(G80:G92)</f>
        <v/>
      </c>
      <c r="H93" s="36" t="n"/>
      <c r="I93" s="36" t="n"/>
      <c r="J93" s="36" t="n"/>
      <c r="K93" s="264">
        <f>SUM(K80:K92)</f>
        <v/>
      </c>
      <c r="L93" s="265" t="n"/>
      <c r="M93" s="265" t="n"/>
      <c r="N93" s="265" t="n"/>
      <c r="O93" s="266" t="n"/>
      <c r="P93" s="266" t="n"/>
    </row>
    <row r="94" ht="18" customHeight="1" thickBot="1">
      <c r="B94" s="93" t="n"/>
      <c r="F94" s="94" t="n"/>
      <c r="G94" s="95" t="n"/>
      <c r="H94" s="96" t="n"/>
      <c r="I94" s="96" t="n"/>
      <c r="J94" s="96" t="n"/>
      <c r="K94" s="267" t="n"/>
      <c r="L94" s="268" t="n"/>
      <c r="M94" s="268" t="n"/>
      <c r="N94" s="268" t="n"/>
      <c r="O94" s="260" t="n"/>
      <c r="P94" s="260" t="n"/>
    </row>
    <row r="95" ht="18" customHeight="1" thickBot="1">
      <c r="B95" s="29" t="inlineStr">
        <is>
          <t>항목</t>
        </is>
      </c>
      <c r="C95" s="30" t="inlineStr">
        <is>
          <t>채널</t>
        </is>
      </c>
      <c r="D95" s="30" t="inlineStr">
        <is>
          <t>캠페인 및 활용 목적 / 앵글</t>
        </is>
      </c>
      <c r="E95" s="30" t="inlineStr">
        <is>
          <t>타겟 페르소나</t>
        </is>
      </c>
      <c r="F95" s="30" t="inlineStr">
        <is>
          <t>필수 해시태그</t>
        </is>
      </c>
      <c r="G95" s="31" t="inlineStr">
        <is>
          <t>목표수량</t>
        </is>
      </c>
      <c r="H95" s="32" t="inlineStr">
        <is>
          <t>단가</t>
        </is>
      </c>
      <c r="I95" s="32" t="n"/>
      <c r="J95" s="32" t="n"/>
      <c r="K95" s="32" t="inlineStr">
        <is>
          <t>마크업(20%)</t>
        </is>
      </c>
      <c r="L95" s="118" t="n"/>
      <c r="M95" s="118" t="n"/>
      <c r="N95" s="118" t="n"/>
      <c r="O95" s="130" t="n"/>
      <c r="P95" s="130" t="n"/>
    </row>
    <row r="96">
      <c r="B96" s="38" t="inlineStr">
        <is>
          <t xml:space="preserve">  ▣ 12월 · 올영세일 2차 피크 / 대표성 착지   —   웰니스 카테고리 대표 브랜드 착지 · 타겟: 실질 전환형</t>
        </is>
      </c>
      <c r="C96" s="82" t="n"/>
      <c r="D96" s="189" t="n"/>
      <c r="E96" s="189" t="n"/>
      <c r="F96" s="189" t="n"/>
      <c r="G96" s="82" t="n"/>
      <c r="H96" s="189" t="n"/>
      <c r="I96" s="189" t="n"/>
      <c r="J96" s="189" t="n"/>
      <c r="K96" s="189" t="n"/>
      <c r="L96" s="189" t="n"/>
      <c r="M96" s="189" t="n"/>
      <c r="N96" s="189" t="n"/>
    </row>
    <row r="97">
      <c r="B97" s="195" t="inlineStr">
        <is>
          <t>마이크로 (UGC)</t>
        </is>
      </c>
      <c r="C97" s="196" t="inlineStr">
        <is>
          <t>IG·TT</t>
        </is>
      </c>
      <c r="D97" s="76" t="inlineStr">
        <is>
          <t>전 라인업 대표성 콘텐츠·세일 클로징</t>
        </is>
      </c>
      <c r="E97" s="76" t="inlineStr">
        <is>
          <t>직장인 루틴형 2535</t>
        </is>
      </c>
      <c r="F97" s="77" t="inlineStr">
        <is>
          <t>#올더베러 #오늘도베러</t>
        </is>
      </c>
      <c r="G97" s="199" t="n">
        <v>34</v>
      </c>
      <c r="H97" s="269" t="n">
        <v>500000</v>
      </c>
      <c r="I97" s="258" t="n"/>
      <c r="J97" s="258" t="n"/>
      <c r="K97" s="269" t="n">
        <v>0</v>
      </c>
      <c r="L97" s="259" t="n"/>
      <c r="M97" s="259" t="n"/>
      <c r="N97" s="259" t="n"/>
      <c r="O97" s="260" t="n"/>
      <c r="P97" s="260" t="n"/>
    </row>
    <row r="98" ht="26.4" customHeight="1">
      <c r="B98" s="195" t="inlineStr">
        <is>
          <t>나노</t>
        </is>
      </c>
      <c r="C98" s="196" t="inlineStr">
        <is>
          <t>IG</t>
        </is>
      </c>
      <c r="D98" s="76" t="inlineStr">
        <is>
          <t>구매 인증·쟁여두기 소구</t>
        </is>
      </c>
      <c r="E98" s="76" t="inlineStr">
        <is>
          <t>웰니스 입문형 2030</t>
        </is>
      </c>
      <c r="F98" s="77" t="inlineStr">
        <is>
          <t>#올더베러 #오늘도베러 #웰니스입문</t>
        </is>
      </c>
      <c r="G98" s="199" t="n">
        <v>44</v>
      </c>
      <c r="H98" s="269" t="n">
        <v>250000</v>
      </c>
      <c r="I98" s="258" t="n"/>
      <c r="J98" s="258" t="n"/>
      <c r="K98" s="269" t="n">
        <v>0</v>
      </c>
      <c r="L98" s="259" t="n"/>
      <c r="M98" s="259" t="n"/>
      <c r="N98" s="259" t="n"/>
      <c r="O98" s="260" t="n"/>
      <c r="P98" s="260" t="n"/>
    </row>
    <row r="99">
      <c r="B99" s="195" t="inlineStr">
        <is>
          <t>매크로</t>
        </is>
      </c>
      <c r="C99" s="196" t="inlineStr">
        <is>
          <t>IG·TT·YT</t>
        </is>
      </c>
      <c r="D99" s="76" t="inlineStr">
        <is>
          <t>세일 대세감·대표성</t>
        </is>
      </c>
      <c r="E99" s="76" t="inlineStr">
        <is>
          <t>헬시플레저 광역 4050+</t>
        </is>
      </c>
      <c r="F99" s="77" t="inlineStr">
        <is>
          <t>#올더베러 #올영세일</t>
        </is>
      </c>
      <c r="G99" s="199" t="n">
        <v>5</v>
      </c>
      <c r="H99" s="269" t="n">
        <v>800000</v>
      </c>
      <c r="I99" s="258" t="n"/>
      <c r="J99" s="258" t="n"/>
      <c r="K99" s="269" t="n">
        <v>0</v>
      </c>
      <c r="L99" s="259" t="n"/>
      <c r="M99" s="259" t="n"/>
      <c r="N99" s="259" t="n"/>
      <c r="O99" s="260" t="n"/>
      <c r="P99" s="260" t="n"/>
    </row>
    <row r="100">
      <c r="B100" s="195" t="inlineStr">
        <is>
          <t>KOL 무가시딩</t>
        </is>
      </c>
      <c r="C100" s="196" t="inlineStr">
        <is>
          <t>IG·YT</t>
        </is>
      </c>
      <c r="D100" s="76" t="inlineStr">
        <is>
          <t>연말 자발 후기</t>
        </is>
      </c>
      <c r="E100" s="76" t="inlineStr">
        <is>
          <t>30대 웰니스 KOL</t>
        </is>
      </c>
      <c r="F100" s="77" t="inlineStr">
        <is>
          <t>#올더베러 #오늘도베러</t>
        </is>
      </c>
      <c r="G100" s="199" t="n">
        <v>10</v>
      </c>
      <c r="H100" s="269" t="n">
        <v>100000</v>
      </c>
      <c r="I100" s="258" t="n"/>
      <c r="J100" s="258" t="n"/>
      <c r="K100" s="269" t="n">
        <v>0</v>
      </c>
      <c r="L100" s="259" t="n"/>
      <c r="M100" s="259" t="n"/>
      <c r="N100" s="259" t="n"/>
      <c r="O100" s="260" t="n"/>
      <c r="P100" s="260" t="n"/>
    </row>
    <row r="101">
      <c r="B101" s="195" t="inlineStr">
        <is>
          <t>X (트위터) 시딩</t>
        </is>
      </c>
      <c r="C101" s="196" t="inlineStr">
        <is>
          <t>X</t>
        </is>
      </c>
      <c r="D101" s="76" t="inlineStr">
        <is>
          <t>실시간 바이럴</t>
        </is>
      </c>
      <c r="E101" s="76" t="inlineStr">
        <is>
          <t>리뷰·밈 2030</t>
        </is>
      </c>
      <c r="F101" s="77" t="inlineStr">
        <is>
          <t>#올더베러 #올영템</t>
        </is>
      </c>
      <c r="G101" s="199" t="n">
        <v>5</v>
      </c>
      <c r="H101" s="269" t="n">
        <v>500000</v>
      </c>
      <c r="I101" s="258" t="n"/>
      <c r="J101" s="258" t="n"/>
      <c r="K101" s="269" t="n">
        <v>0</v>
      </c>
      <c r="L101" s="259" t="n"/>
      <c r="M101" s="259" t="n"/>
      <c r="N101" s="259" t="n"/>
      <c r="O101" s="260" t="n"/>
      <c r="P101" s="260" t="n"/>
    </row>
    <row r="102">
      <c r="B102" s="195" t="inlineStr">
        <is>
          <t>네이버 블로그</t>
        </is>
      </c>
      <c r="C102" s="196" t="inlineStr">
        <is>
          <t>Blog</t>
        </is>
      </c>
      <c r="D102" s="197" t="inlineStr">
        <is>
          <t>검색 점유 유지</t>
        </is>
      </c>
      <c r="E102" s="197" t="inlineStr">
        <is>
          <t>정보탐색 검색자</t>
        </is>
      </c>
      <c r="F102" s="198" t="inlineStr">
        <is>
          <t>#올더베러 #웰니스구미추천</t>
        </is>
      </c>
      <c r="G102" s="199" t="n">
        <v>5</v>
      </c>
      <c r="H102" s="269" t="n">
        <v>300000</v>
      </c>
      <c r="I102" s="258" t="n"/>
      <c r="J102" s="258" t="n"/>
      <c r="K102" s="269" t="n">
        <v>0</v>
      </c>
      <c r="L102" s="259" t="n"/>
      <c r="M102" s="259" t="n"/>
      <c r="N102" s="259" t="n"/>
      <c r="O102" s="260" t="n"/>
      <c r="P102" s="260" t="n"/>
    </row>
    <row r="103">
      <c r="B103" s="195" t="inlineStr">
        <is>
          <t>EGC 콘텐츠</t>
        </is>
      </c>
      <c r="C103" s="196" t="inlineStr">
        <is>
          <t>IG·TT</t>
        </is>
      </c>
      <c r="D103" s="197" t="inlineStr">
        <is>
          <t>대표성 신뢰 소재</t>
        </is>
      </c>
      <c r="E103" s="197" t="inlineStr">
        <is>
          <t>정보 신뢰 구매고려층</t>
        </is>
      </c>
      <c r="F103" s="198" t="inlineStr">
        <is>
          <t>#올더베러 #직원피셜</t>
        </is>
      </c>
      <c r="G103" s="199" t="n">
        <v>2</v>
      </c>
      <c r="H103" s="269" t="n">
        <v>1000000</v>
      </c>
      <c r="I103" s="258" t="n"/>
      <c r="J103" s="258" t="n"/>
      <c r="K103" s="269" t="n">
        <v>0</v>
      </c>
      <c r="L103" s="259" t="n"/>
      <c r="M103" s="259" t="n"/>
      <c r="N103" s="259" t="n"/>
      <c r="O103" s="260" t="n"/>
      <c r="P103" s="260" t="n"/>
    </row>
    <row r="104">
      <c r="B104" s="195" t="inlineStr">
        <is>
          <t>Half EGC 콘텐츠</t>
        </is>
      </c>
      <c r="C104" s="196" t="inlineStr">
        <is>
          <t>IG·TT</t>
        </is>
      </c>
      <c r="D104" s="197" t="inlineStr">
        <is>
          <t>건기식 정보 콘텐츠</t>
        </is>
      </c>
      <c r="E104" s="197" t="inlineStr">
        <is>
          <t>건기식 관심 직장인</t>
        </is>
      </c>
      <c r="F104" s="198" t="inlineStr">
        <is>
          <t>#올더베러 #웰니스루틴</t>
        </is>
      </c>
      <c r="G104" s="199" t="n">
        <v>1</v>
      </c>
      <c r="H104" s="269" t="n">
        <v>1250000</v>
      </c>
      <c r="I104" s="258" t="n"/>
      <c r="J104" s="258" t="n"/>
      <c r="K104" s="269" t="n">
        <v>0</v>
      </c>
      <c r="L104" s="259" t="n"/>
      <c r="M104" s="259" t="n"/>
      <c r="N104" s="259" t="n"/>
      <c r="O104" s="260" t="n"/>
      <c r="P104" s="260" t="n"/>
    </row>
    <row r="105">
      <c r="B105" s="195" t="inlineStr">
        <is>
          <t>파워페이지</t>
        </is>
      </c>
      <c r="C105" s="196" t="inlineStr">
        <is>
          <t>SNS</t>
        </is>
      </c>
      <c r="D105" s="197" t="inlineStr">
        <is>
          <t>추천 맥락 노출</t>
        </is>
      </c>
      <c r="E105" s="197" t="inlineStr">
        <is>
          <t>구매 고의도 검색자</t>
        </is>
      </c>
      <c r="F105" s="198" t="inlineStr">
        <is>
          <t>#올영추천템 #웰니스추천</t>
        </is>
      </c>
      <c r="G105" s="199" t="n">
        <v>3</v>
      </c>
      <c r="H105" s="269" t="n">
        <v>800000</v>
      </c>
      <c r="I105" s="258" t="n"/>
      <c r="J105" s="258" t="n"/>
      <c r="K105" s="269" t="n">
        <v>0</v>
      </c>
      <c r="L105" s="259" t="n"/>
      <c r="M105" s="259" t="n"/>
      <c r="N105" s="259" t="n"/>
      <c r="O105" s="260" t="n"/>
      <c r="P105" s="260" t="n"/>
    </row>
    <row r="106">
      <c r="B106" s="195" t="inlineStr">
        <is>
          <t>커뮤니티 체험단</t>
        </is>
      </c>
      <c r="C106" s="196" t="inlineStr">
        <is>
          <t>뷰티앱·커뮤니티</t>
        </is>
      </c>
      <c r="D106" s="197" t="inlineStr">
        <is>
          <t>연말 어워드·랭킹</t>
        </is>
      </c>
      <c r="E106" s="197" t="inlineStr">
        <is>
          <t>카테고리 관여 高 사용자</t>
        </is>
      </c>
      <c r="F106" s="198" t="inlineStr">
        <is>
          <t>#올리브영 #웰니스어워드</t>
        </is>
      </c>
      <c r="G106" s="199" t="n">
        <v>1</v>
      </c>
      <c r="H106" s="269" t="n">
        <v>5000000</v>
      </c>
      <c r="I106" s="258" t="n"/>
      <c r="J106" s="258" t="n"/>
      <c r="K106" s="271">
        <f>H106*G106*0.2</f>
        <v/>
      </c>
      <c r="L106" s="272" t="n"/>
      <c r="M106" s="272" t="n"/>
      <c r="N106" s="272" t="n"/>
      <c r="O106" s="260" t="n"/>
      <c r="P106" s="260" t="n"/>
    </row>
    <row r="107">
      <c r="B107" s="195" t="inlineStr">
        <is>
          <t>어필리에이트</t>
        </is>
      </c>
      <c r="C107" s="196" t="inlineStr">
        <is>
          <t>올영 쇼핑 큐레이터</t>
        </is>
      </c>
      <c r="D107" s="197" t="inlineStr">
        <is>
          <t>세일 매출·랭킹 클로징</t>
        </is>
      </c>
      <c r="E107" s="197" t="inlineStr">
        <is>
          <t>세일즈 경험 크리에이터</t>
        </is>
      </c>
      <c r="F107" s="198" t="inlineStr">
        <is>
          <t>#올영세일 #장바구니</t>
        </is>
      </c>
      <c r="G107" s="199" t="n">
        <v>60</v>
      </c>
      <c r="H107" s="269" t="n">
        <v>100000</v>
      </c>
      <c r="I107" s="258" t="n"/>
      <c r="J107" s="258" t="n"/>
      <c r="K107" s="269" t="n">
        <v>0</v>
      </c>
      <c r="L107" s="259" t="n"/>
      <c r="M107" s="259" t="n"/>
      <c r="N107" s="259" t="n"/>
      <c r="O107" s="260" t="n"/>
      <c r="P107" s="260" t="n"/>
    </row>
    <row r="108">
      <c r="B108" s="195" t="inlineStr">
        <is>
          <t>콘텐츠 제작 (KV·영상·이미지)</t>
        </is>
      </c>
      <c r="C108" s="196" t="inlineStr">
        <is>
          <t>제작</t>
        </is>
      </c>
      <c r="D108" s="197" t="inlineStr">
        <is>
          <t>세일 클로징 소재</t>
        </is>
      </c>
      <c r="E108" s="197" t="inlineStr">
        <is>
          <t>—</t>
        </is>
      </c>
      <c r="F108" s="198" t="inlineStr">
        <is>
          <t>—</t>
        </is>
      </c>
      <c r="G108" s="199" t="n">
        <v>1</v>
      </c>
      <c r="H108" s="269" t="n">
        <v>1550000</v>
      </c>
      <c r="I108" s="258" t="n"/>
      <c r="J108" s="258" t="n"/>
      <c r="K108" s="269" t="n">
        <v>0</v>
      </c>
      <c r="L108" s="259" t="n"/>
      <c r="M108" s="259" t="n"/>
      <c r="N108" s="259" t="n"/>
      <c r="O108" s="260" t="n"/>
      <c r="P108" s="260" t="n"/>
    </row>
    <row r="109" ht="18" customHeight="1" thickBot="1">
      <c r="B109" s="80" t="inlineStr">
        <is>
          <t>12월 소계</t>
        </is>
      </c>
      <c r="C109" s="81" t="n"/>
      <c r="D109" s="190" t="n"/>
      <c r="E109" s="190" t="n"/>
      <c r="F109" s="191" t="n"/>
      <c r="G109" s="35">
        <f>SUM(G97:G108)</f>
        <v/>
      </c>
      <c r="H109" s="36" t="n"/>
      <c r="I109" s="36" t="n"/>
      <c r="J109" s="36" t="n"/>
      <c r="K109" s="264">
        <f>SUM(K97:K108)</f>
        <v/>
      </c>
      <c r="L109" s="265" t="n"/>
      <c r="M109" s="265" t="n"/>
      <c r="N109" s="265" t="n"/>
      <c r="O109" s="266" t="n"/>
      <c r="P109" s="266" t="n"/>
    </row>
    <row r="110" ht="18" customHeight="1" thickBot="1">
      <c r="B110" s="83" t="inlineStr">
        <is>
          <t>총 합계 (원고료+마크업, VAT 별도)</t>
        </is>
      </c>
      <c r="C110" s="84" t="n"/>
      <c r="D110" s="57" t="n"/>
      <c r="E110" s="57" t="n"/>
      <c r="F110" s="58" t="n"/>
      <c r="G110" s="88" t="n"/>
      <c r="H110" s="88" t="n"/>
      <c r="I110" s="88" t="n"/>
      <c r="J110" s="88" t="n"/>
      <c r="K110" s="275">
        <f>K37+K54+K65+K76+K93+K109</f>
        <v/>
      </c>
      <c r="L110" s="276" t="n"/>
      <c r="M110" s="276" t="n"/>
      <c r="N110" s="276" t="n"/>
      <c r="O110" s="277" t="n"/>
      <c r="P110" s="277" t="n"/>
    </row>
    <row r="111" ht="18" customHeight="1" thickBot="1"/>
    <row r="112" ht="34.2" customHeight="1">
      <c r="B112" s="164" t="inlineStr">
        <is>
          <t>■ 무상 지원 (Value-add · 0원)</t>
        </is>
      </c>
      <c r="C112" s="165" t="n"/>
      <c r="D112" s="165" t="n"/>
      <c r="E112" s="165" t="n"/>
      <c r="F112" s="165" t="n"/>
      <c r="G112" s="165" t="n"/>
      <c r="H112" s="165" t="n"/>
      <c r="I112" s="165" t="n"/>
      <c r="J112" s="165" t="n"/>
      <c r="K112" s="165" t="n"/>
      <c r="L112" s="165" t="n"/>
      <c r="M112" s="165" t="n"/>
      <c r="N112" s="165" t="n"/>
      <c r="O112" s="137" t="n"/>
      <c r="P112" s="137" t="n"/>
    </row>
    <row r="113">
      <c r="B113" s="195" t="inlineStr">
        <is>
          <t>스프레이ai 솔루션</t>
        </is>
      </c>
      <c r="C113" s="89" t="inlineStr">
        <is>
          <t>무상</t>
        </is>
      </c>
      <c r="D113" s="278" t="inlineStr">
        <is>
          <t>대행 종료시점까지 무상 — 월 420만(브랜드 1개) · 6개월 2,520만원 상당</t>
        </is>
      </c>
      <c r="E113" s="3" t="n"/>
      <c r="F113" s="242" t="n"/>
      <c r="G113" s="68" t="inlineStr">
        <is>
          <t>-</t>
        </is>
      </c>
      <c r="H113" s="68" t="inlineStr">
        <is>
          <t>-</t>
        </is>
      </c>
      <c r="I113" s="68" t="n"/>
      <c r="J113" s="68" t="n"/>
      <c r="K113" s="68" t="inlineStr">
        <is>
          <t>-</t>
        </is>
      </c>
      <c r="L113" s="126" t="n"/>
      <c r="M113" s="126" t="n"/>
      <c r="N113" s="126" t="n"/>
      <c r="O113" s="279" t="n"/>
      <c r="P113" s="279" t="n"/>
    </row>
    <row r="114">
      <c r="B114" s="195" t="inlineStr">
        <is>
          <t>고성과 리포트 대시보드</t>
        </is>
      </c>
      <c r="C114" s="89" t="inlineStr">
        <is>
          <t>무상</t>
        </is>
      </c>
      <c r="D114" s="278" t="inlineStr">
        <is>
          <t>캠페인 성과·랭킹 트래킹 제공</t>
        </is>
      </c>
      <c r="E114" s="3" t="n"/>
      <c r="F114" s="242" t="n"/>
      <c r="G114" s="68" t="inlineStr">
        <is>
          <t>-</t>
        </is>
      </c>
      <c r="H114" s="68" t="inlineStr">
        <is>
          <t>-</t>
        </is>
      </c>
      <c r="I114" s="68" t="n"/>
      <c r="J114" s="68" t="n"/>
      <c r="K114" s="68" t="inlineStr">
        <is>
          <t>-</t>
        </is>
      </c>
      <c r="L114" s="126" t="n"/>
      <c r="M114" s="126" t="n"/>
      <c r="N114" s="126" t="n"/>
      <c r="O114" s="279" t="n"/>
      <c r="P114" s="279" t="n"/>
    </row>
    <row r="115">
      <c r="B115" s="195" t="inlineStr">
        <is>
          <t>올리비아 (AI 어시스턴트)</t>
        </is>
      </c>
      <c r="C115" s="89" t="inlineStr">
        <is>
          <t>무상</t>
        </is>
      </c>
      <c r="D115" s="278" t="inlineStr">
        <is>
          <t>AI 콘텐츠·리포팅 어시스턴트 제공</t>
        </is>
      </c>
      <c r="E115" s="3" t="n"/>
      <c r="F115" s="242" t="n"/>
      <c r="G115" s="68" t="inlineStr">
        <is>
          <t>-</t>
        </is>
      </c>
      <c r="H115" s="68" t="inlineStr">
        <is>
          <t>-</t>
        </is>
      </c>
      <c r="I115" s="68" t="n"/>
      <c r="J115" s="68" t="n"/>
      <c r="K115" s="68" t="inlineStr">
        <is>
          <t>-</t>
        </is>
      </c>
      <c r="L115" s="126" t="n"/>
      <c r="M115" s="126" t="n"/>
      <c r="N115" s="126" t="n"/>
      <c r="O115" s="279" t="n"/>
      <c r="P115" s="279" t="n"/>
    </row>
    <row r="116">
      <c r="B116" s="195" t="inlineStr">
        <is>
          <t>VOC 딥다이브 리포트</t>
        </is>
      </c>
      <c r="C116" s="89" t="inlineStr">
        <is>
          <t>무상</t>
        </is>
      </c>
      <c r="D116" s="278" t="inlineStr">
        <is>
          <t>리뷰 크롤링·키워드 분석 리포트</t>
        </is>
      </c>
      <c r="E116" s="3" t="n"/>
      <c r="F116" s="242" t="n"/>
      <c r="G116" s="68" t="inlineStr">
        <is>
          <t>-</t>
        </is>
      </c>
      <c r="H116" s="68" t="inlineStr">
        <is>
          <t>-</t>
        </is>
      </c>
      <c r="I116" s="68" t="n"/>
      <c r="J116" s="68" t="n"/>
      <c r="K116" s="68" t="inlineStr">
        <is>
          <t>-</t>
        </is>
      </c>
      <c r="L116" s="126" t="n"/>
      <c r="M116" s="126" t="n"/>
      <c r="N116" s="126" t="n"/>
      <c r="O116" s="279" t="n"/>
      <c r="P116" s="279" t="n"/>
    </row>
    <row r="117">
      <c r="B117" s="195" t="inlineStr">
        <is>
          <t>Claude AI 심의 사전검수</t>
        </is>
      </c>
      <c r="C117" s="89" t="inlineStr">
        <is>
          <t>무상</t>
        </is>
      </c>
      <c r="D117" s="278" t="inlineStr">
        <is>
          <t>심의 반려율↓·리드타임 단축</t>
        </is>
      </c>
      <c r="E117" s="3" t="n"/>
      <c r="F117" s="242" t="n"/>
      <c r="G117" s="68" t="inlineStr">
        <is>
          <t>-</t>
        </is>
      </c>
      <c r="H117" s="68" t="inlineStr">
        <is>
          <t>-</t>
        </is>
      </c>
      <c r="I117" s="68" t="n"/>
      <c r="J117" s="68" t="n"/>
      <c r="K117" s="68" t="inlineStr">
        <is>
          <t>-</t>
        </is>
      </c>
      <c r="L117" s="126" t="n"/>
      <c r="M117" s="126" t="n"/>
      <c r="N117" s="126" t="n"/>
      <c r="O117" s="279" t="n"/>
      <c r="P117" s="279" t="n"/>
    </row>
    <row r="118">
      <c r="B118" s="195" t="inlineStr">
        <is>
          <t>월간 성과 리포팅</t>
        </is>
      </c>
      <c r="C118" s="89" t="inlineStr">
        <is>
          <t>무상</t>
        </is>
      </c>
      <c r="D118" s="278" t="inlineStr">
        <is>
          <t>캠페인 완수 후 리포팅 제공</t>
        </is>
      </c>
      <c r="E118" s="3" t="n"/>
      <c r="F118" s="242" t="n"/>
      <c r="G118" s="68" t="inlineStr">
        <is>
          <t>-</t>
        </is>
      </c>
      <c r="H118" s="68" t="inlineStr">
        <is>
          <t>-</t>
        </is>
      </c>
      <c r="I118" s="68" t="n"/>
      <c r="J118" s="68" t="n"/>
      <c r="K118" s="68" t="inlineStr">
        <is>
          <t>-</t>
        </is>
      </c>
      <c r="L118" s="126" t="n"/>
      <c r="M118" s="126" t="n"/>
      <c r="N118" s="126" t="n"/>
      <c r="O118" s="279" t="n"/>
      <c r="P118" s="279" t="n"/>
    </row>
    <row r="119" ht="18" customHeight="1" thickBot="1">
      <c r="B119" s="90" t="inlineStr">
        <is>
          <t>위닝 콘텐츠 2차 활용</t>
        </is>
      </c>
      <c r="C119" s="91" t="inlineStr">
        <is>
          <t>무상</t>
        </is>
      </c>
      <c r="D119" s="280" t="inlineStr">
        <is>
          <t>시딩 콘텐츠 2차 활용 라이선스</t>
        </is>
      </c>
      <c r="E119" s="190" t="n"/>
      <c r="F119" s="191" t="n"/>
      <c r="G119" s="92" t="inlineStr">
        <is>
          <t>-</t>
        </is>
      </c>
      <c r="H119" s="92" t="inlineStr">
        <is>
          <t>-</t>
        </is>
      </c>
      <c r="I119" s="92" t="n"/>
      <c r="J119" s="92" t="n"/>
      <c r="K119" s="92" t="inlineStr">
        <is>
          <t>-</t>
        </is>
      </c>
      <c r="L119" s="127" t="n"/>
      <c r="M119" s="127" t="n"/>
      <c r="N119" s="127" t="n"/>
      <c r="O119" s="279" t="n"/>
      <c r="P119" s="279" t="n"/>
    </row>
  </sheetData>
  <mergeCells count="26">
    <mergeCell ref="D13:F13"/>
    <mergeCell ref="D11:F11"/>
    <mergeCell ref="D116:F116"/>
    <mergeCell ref="B92:N92"/>
    <mergeCell ref="D17:F17"/>
    <mergeCell ref="H24:K24"/>
    <mergeCell ref="D16:F16"/>
    <mergeCell ref="D93:F93"/>
    <mergeCell ref="D118:F118"/>
    <mergeCell ref="D12:F12"/>
    <mergeCell ref="D18:F18"/>
    <mergeCell ref="D9:F9"/>
    <mergeCell ref="B23:F23"/>
    <mergeCell ref="D114:F114"/>
    <mergeCell ref="D15:F15"/>
    <mergeCell ref="D117:F117"/>
    <mergeCell ref="D113:F113"/>
    <mergeCell ref="D14:F14"/>
    <mergeCell ref="H25:K25"/>
    <mergeCell ref="D115:F115"/>
    <mergeCell ref="D20:F20"/>
    <mergeCell ref="D10:F10"/>
    <mergeCell ref="D119:F119"/>
    <mergeCell ref="D19:F19"/>
    <mergeCell ref="D96:F96"/>
    <mergeCell ref="D21:F2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selection activeCell="E24" sqref="E24"/>
    </sheetView>
  </sheetViews>
  <sheetFormatPr baseColWidth="8" defaultRowHeight="17.4"/>
  <cols>
    <col width="30" bestFit="1" customWidth="1" min="1" max="1"/>
    <col width="11" customWidth="1" min="2" max="2"/>
    <col width="7" customWidth="1" min="3" max="3"/>
    <col width="9" customWidth="1" min="4" max="4"/>
    <col width="9" customWidth="1" min="5" max="5"/>
    <col width="7" customWidth="1" min="6" max="6"/>
    <col width="9" customWidth="1" min="7" max="8"/>
    <col width="9" customWidth="1" min="8" max="8"/>
    <col width="8" customWidth="1" min="9" max="9"/>
    <col width="14" customWidth="1" min="10" max="10"/>
  </cols>
  <sheetData>
    <row r="1" ht="21" customHeight="1">
      <c r="A1" s="281" t="inlineStr">
        <is>
          <t>월별 실행 타임라인 · 액션플랜</t>
        </is>
      </c>
      <c r="B1" s="229" t="n"/>
      <c r="C1" s="229" t="n"/>
      <c r="D1" s="229" t="n"/>
      <c r="E1" s="229" t="n"/>
      <c r="F1" s="229" t="n"/>
      <c r="G1" s="229" t="n"/>
      <c r="H1" s="229" t="n"/>
      <c r="I1" s="229" t="n"/>
      <c r="J1" s="229" t="n"/>
    </row>
    <row r="2">
      <c r="A2" s="229" t="n"/>
      <c r="B2" s="229" t="n"/>
      <c r="C2" s="229" t="n"/>
      <c r="D2" s="229" t="n"/>
      <c r="E2" s="229" t="n"/>
      <c r="F2" s="229" t="n"/>
      <c r="G2" s="229" t="n"/>
      <c r="H2" s="229" t="n"/>
      <c r="I2" s="229" t="n"/>
      <c r="J2" s="229" t="n"/>
    </row>
    <row r="3" ht="30" customHeight="1">
      <c r="A3" s="282" t="inlineStr">
        <is>
          <t>항목</t>
        </is>
      </c>
      <c r="B3" s="282" t="inlineStr">
        <is>
          <t>단가(총 견적)</t>
        </is>
      </c>
      <c r="C3" s="282" t="inlineStr">
        <is>
          <t>7월</t>
        </is>
      </c>
      <c r="D3" s="282" t="inlineStr">
        <is>
          <t>8월
세일사전</t>
        </is>
      </c>
      <c r="E3" s="282" t="inlineStr">
        <is>
          <t>9월
세일★</t>
        </is>
      </c>
      <c r="F3" s="282" t="inlineStr">
        <is>
          <t>10월</t>
        </is>
      </c>
      <c r="G3" s="282" t="inlineStr">
        <is>
          <t>11월
블프★</t>
        </is>
      </c>
      <c r="H3" s="282" t="inlineStr">
        <is>
          <t>12월
세일★</t>
        </is>
      </c>
      <c r="I3" s="282" t="inlineStr">
        <is>
          <t>합계</t>
        </is>
      </c>
      <c r="J3" s="282" t="inlineStr">
        <is>
          <t>금액</t>
        </is>
      </c>
    </row>
    <row r="4" ht="19.05" customHeight="1">
      <c r="A4" s="283" t="inlineStr">
        <is>
          <t>■ 크리에이터 시딩</t>
        </is>
      </c>
    </row>
    <row r="5" ht="19.05" customHeight="1">
      <c r="A5" s="284" t="inlineStr">
        <is>
          <t>나노</t>
        </is>
      </c>
      <c r="B5" s="285" t="n">
        <v>270000</v>
      </c>
      <c r="C5" s="286" t="n">
        <v>10</v>
      </c>
      <c r="D5" s="286" t="n">
        <v>20</v>
      </c>
      <c r="E5" s="286" t="n">
        <v>12</v>
      </c>
      <c r="F5" s="286" t="n">
        <v>10</v>
      </c>
      <c r="G5" s="286" t="n">
        <v>18</v>
      </c>
      <c r="H5" s="286" t="n">
        <v>20</v>
      </c>
      <c r="I5" s="287">
        <f>SUM(C5:H5)</f>
        <v/>
      </c>
      <c r="J5" s="288">
        <f>I5*B5</f>
        <v/>
      </c>
    </row>
    <row r="6" ht="19.05" customHeight="1">
      <c r="A6" s="284" t="inlineStr">
        <is>
          <t>마이크로 (UGC)</t>
        </is>
      </c>
      <c r="B6" s="285" t="n">
        <v>420000</v>
      </c>
      <c r="C6" s="286" t="n">
        <v>16</v>
      </c>
      <c r="D6" s="286" t="n">
        <v>30</v>
      </c>
      <c r="E6" s="286" t="n">
        <v>20</v>
      </c>
      <c r="F6" s="286" t="n">
        <v>16</v>
      </c>
      <c r="G6" s="286" t="n">
        <v>28</v>
      </c>
      <c r="H6" s="286" t="n">
        <v>30</v>
      </c>
      <c r="I6" s="287">
        <f>SUM(C6:H6)</f>
        <v/>
      </c>
      <c r="J6" s="288">
        <f>I6*B6</f>
        <v/>
      </c>
    </row>
    <row r="7" ht="19.05" customHeight="1">
      <c r="A7" s="284" t="inlineStr">
        <is>
          <t>매크로</t>
        </is>
      </c>
      <c r="B7" s="285" t="n">
        <v>880000</v>
      </c>
      <c r="C7" s="286" t="inlineStr">
        <is>
          <t>-</t>
        </is>
      </c>
      <c r="D7" s="286" t="n">
        <v>4</v>
      </c>
      <c r="E7" s="286" t="inlineStr">
        <is>
          <t>-</t>
        </is>
      </c>
      <c r="F7" s="286" t="inlineStr">
        <is>
          <t>-</t>
        </is>
      </c>
      <c r="G7" s="286" t="n">
        <v>4</v>
      </c>
      <c r="H7" s="286" t="n">
        <v>4</v>
      </c>
      <c r="I7" s="287">
        <f>SUM(C7:H7)</f>
        <v/>
      </c>
      <c r="J7" s="288">
        <f>I7*B7</f>
        <v/>
      </c>
    </row>
    <row r="8" ht="19.05" customHeight="1">
      <c r="A8" s="284" t="inlineStr">
        <is>
          <t>KOL 무가시딩</t>
        </is>
      </c>
      <c r="B8" s="285" t="n">
        <v>100000</v>
      </c>
      <c r="C8" s="286" t="n">
        <v>5</v>
      </c>
      <c r="D8" s="286" t="n">
        <v>5</v>
      </c>
      <c r="E8" s="286" t="n">
        <v>5</v>
      </c>
      <c r="F8" s="286" t="n">
        <v>5</v>
      </c>
      <c r="G8" s="286" t="n">
        <v>5</v>
      </c>
      <c r="H8" s="286" t="n">
        <v>5</v>
      </c>
      <c r="I8" s="287">
        <f>SUM(C8:H8)</f>
        <v/>
      </c>
      <c r="J8" s="288">
        <f>I8*B8</f>
        <v/>
      </c>
    </row>
    <row r="9" ht="19.05" customHeight="1">
      <c r="A9" s="284" t="inlineStr">
        <is>
          <t>X (트위터) 시딩</t>
        </is>
      </c>
      <c r="B9" s="285" t="n">
        <v>550000</v>
      </c>
      <c r="C9" s="286" t="inlineStr">
        <is>
          <t>-</t>
        </is>
      </c>
      <c r="D9" s="286" t="n">
        <v>8</v>
      </c>
      <c r="E9" s="286" t="inlineStr">
        <is>
          <t>-</t>
        </is>
      </c>
      <c r="F9" s="286" t="inlineStr">
        <is>
          <t>-</t>
        </is>
      </c>
      <c r="G9" s="286" t="n">
        <v>8</v>
      </c>
      <c r="H9" s="286" t="n">
        <v>8</v>
      </c>
      <c r="I9" s="287">
        <f>SUM(C9:H9)</f>
        <v/>
      </c>
      <c r="J9" s="288">
        <f>I9*B9</f>
        <v/>
      </c>
    </row>
    <row r="10" ht="19.05" customHeight="1">
      <c r="A10" s="284" t="inlineStr">
        <is>
          <t>네이버 블로그</t>
        </is>
      </c>
      <c r="B10" s="285" t="n">
        <v>220000</v>
      </c>
      <c r="C10" s="286" t="inlineStr">
        <is>
          <t>-</t>
        </is>
      </c>
      <c r="D10" s="286" t="n">
        <v>5</v>
      </c>
      <c r="E10" s="286" t="inlineStr">
        <is>
          <t>-</t>
        </is>
      </c>
      <c r="F10" s="286" t="inlineStr">
        <is>
          <t>-</t>
        </is>
      </c>
      <c r="G10" s="286" t="n">
        <v>5</v>
      </c>
      <c r="H10" s="286" t="n">
        <v>5</v>
      </c>
      <c r="I10" s="287">
        <f>SUM(C10:H10)</f>
        <v/>
      </c>
      <c r="J10" s="288">
        <f>I10*B10</f>
        <v/>
      </c>
    </row>
    <row r="11" ht="19.05" customHeight="1">
      <c r="A11" s="283" t="inlineStr">
        <is>
          <t>■ BATi 앰배서더</t>
        </is>
      </c>
    </row>
    <row r="12" ht="19.05" customHeight="1">
      <c r="A12" s="284" t="inlineStr">
        <is>
          <t>BATi 마이크로 앰배서더</t>
        </is>
      </c>
      <c r="B12" s="285" t="n">
        <v>500000</v>
      </c>
      <c r="C12" s="286" t="n">
        <v>10</v>
      </c>
      <c r="D12" s="286" t="n">
        <v>10</v>
      </c>
      <c r="E12" s="286" t="n">
        <v>10</v>
      </c>
      <c r="F12" s="286" t="n">
        <v>10</v>
      </c>
      <c r="G12" s="286" t="n">
        <v>10</v>
      </c>
      <c r="H12" s="286" t="n">
        <v>10</v>
      </c>
      <c r="I12" s="287">
        <f>SUM(C12:H12)</f>
        <v/>
      </c>
      <c r="J12" s="288">
        <f>I12*B12</f>
        <v/>
      </c>
    </row>
    <row r="13" ht="19.05" customHeight="1">
      <c r="A13" s="283" t="inlineStr">
        <is>
          <t>■ 콘텐츠</t>
        </is>
      </c>
    </row>
    <row r="14" ht="19.05" customHeight="1">
      <c r="A14" s="284" t="inlineStr">
        <is>
          <t>EGC 콘텐츠</t>
        </is>
      </c>
      <c r="B14" s="285" t="n">
        <v>500000</v>
      </c>
      <c r="C14" s="286" t="n">
        <v>20</v>
      </c>
      <c r="D14" s="286" t="n">
        <v>20</v>
      </c>
      <c r="E14" s="286" t="n">
        <v>20</v>
      </c>
      <c r="F14" s="286" t="n">
        <v>20</v>
      </c>
      <c r="G14" s="286" t="n">
        <v>20</v>
      </c>
      <c r="H14" s="286" t="n">
        <v>20</v>
      </c>
      <c r="I14" s="287">
        <f>SUM(C14:H14)</f>
        <v/>
      </c>
      <c r="J14" s="288">
        <f>I14*B14</f>
        <v/>
      </c>
    </row>
    <row r="15" ht="19.05" customHeight="1">
      <c r="A15" s="284" t="inlineStr">
        <is>
          <t>Half EGC 콘텐츠</t>
        </is>
      </c>
      <c r="B15" s="285" t="n">
        <v>750000</v>
      </c>
      <c r="C15" s="286" t="n">
        <v>4</v>
      </c>
      <c r="D15" s="286" t="n">
        <v>4</v>
      </c>
      <c r="E15" s="286" t="n">
        <v>4</v>
      </c>
      <c r="F15" s="286" t="n">
        <v>4</v>
      </c>
      <c r="G15" s="286" t="n">
        <v>4</v>
      </c>
      <c r="H15" s="286" t="n">
        <v>4</v>
      </c>
      <c r="I15" s="287">
        <f>SUM(C15:H15)</f>
        <v/>
      </c>
      <c r="J15" s="288">
        <f>I15*B15</f>
        <v/>
      </c>
    </row>
    <row r="16" ht="19.05" customHeight="1">
      <c r="A16" s="284" t="inlineStr">
        <is>
          <t>콘텐츠 제작 (KV·영상·이미지)</t>
        </is>
      </c>
      <c r="B16" s="285" t="n">
        <v>1000000</v>
      </c>
      <c r="C16" s="286" t="n">
        <v>1</v>
      </c>
      <c r="D16" s="286" t="n">
        <v>1</v>
      </c>
      <c r="E16" s="286" t="n">
        <v>1</v>
      </c>
      <c r="F16" s="286" t="n">
        <v>1</v>
      </c>
      <c r="G16" s="286" t="n">
        <v>1</v>
      </c>
      <c r="H16" s="286" t="n">
        <v>1</v>
      </c>
      <c r="I16" s="287">
        <f>SUM(C16:H16)</f>
        <v/>
      </c>
      <c r="J16" s="288">
        <f>I16*B16</f>
        <v/>
      </c>
    </row>
    <row r="17" ht="19.05" customHeight="1">
      <c r="A17" s="283" t="inlineStr">
        <is>
          <t>■ 바이럴 · 전환</t>
        </is>
      </c>
    </row>
    <row r="18" ht="19.05" customHeight="1">
      <c r="A18" s="284" t="inlineStr">
        <is>
          <t>파워페이지</t>
        </is>
      </c>
      <c r="B18" s="285" t="n">
        <v>750000</v>
      </c>
      <c r="C18" s="286" t="inlineStr">
        <is>
          <t>-</t>
        </is>
      </c>
      <c r="D18" s="286" t="n">
        <v>2</v>
      </c>
      <c r="E18" s="286" t="inlineStr">
        <is>
          <t>-</t>
        </is>
      </c>
      <c r="F18" s="286" t="inlineStr">
        <is>
          <t>-</t>
        </is>
      </c>
      <c r="G18" s="286" t="n">
        <v>2</v>
      </c>
      <c r="H18" s="286" t="n">
        <v>2</v>
      </c>
      <c r="I18" s="287">
        <f>SUM(C18:H18)</f>
        <v/>
      </c>
      <c r="J18" s="288">
        <f>I18*B18</f>
        <v/>
      </c>
    </row>
    <row r="19" ht="19.05" customHeight="1">
      <c r="A19" s="284" t="inlineStr">
        <is>
          <t>커뮤니티 체험단</t>
        </is>
      </c>
      <c r="B19" s="285" t="n">
        <v>4300000</v>
      </c>
      <c r="C19" s="286" t="inlineStr">
        <is>
          <t>-</t>
        </is>
      </c>
      <c r="D19" s="286" t="n">
        <v>1</v>
      </c>
      <c r="E19" s="286" t="inlineStr">
        <is>
          <t>-</t>
        </is>
      </c>
      <c r="F19" s="286" t="inlineStr">
        <is>
          <t>-</t>
        </is>
      </c>
      <c r="G19" s="286" t="n">
        <v>1</v>
      </c>
      <c r="H19" s="286" t="inlineStr">
        <is>
          <t>-</t>
        </is>
      </c>
      <c r="I19" s="287">
        <f>SUM(C19:H19)</f>
        <v/>
      </c>
      <c r="J19" s="288">
        <f>I19*B19</f>
        <v/>
      </c>
    </row>
    <row r="20">
      <c r="A20" s="284" t="inlineStr">
        <is>
          <t>챌린저스</t>
        </is>
      </c>
      <c r="B20" s="285" t="n">
        <v>4800000</v>
      </c>
      <c r="C20" s="286" t="inlineStr">
        <is>
          <t>-</t>
        </is>
      </c>
      <c r="D20" s="286" t="n">
        <v>1</v>
      </c>
      <c r="E20" s="286" t="inlineStr">
        <is>
          <t>-</t>
        </is>
      </c>
      <c r="F20" s="286" t="inlineStr">
        <is>
          <t>-</t>
        </is>
      </c>
      <c r="G20" s="286" t="n">
        <v>1</v>
      </c>
      <c r="H20" s="286" t="inlineStr">
        <is>
          <t>-</t>
        </is>
      </c>
      <c r="I20" s="287">
        <f>SUM(C20:H20)</f>
        <v/>
      </c>
      <c r="J20" s="288">
        <f>I20*B20</f>
        <v/>
      </c>
    </row>
    <row r="21">
      <c r="A21" s="283" t="inlineStr">
        <is>
          <t>■ 솔루션</t>
        </is>
      </c>
    </row>
    <row r="22">
      <c r="A22" s="284" t="inlineStr">
        <is>
          <t>스프레이ai 솔루션</t>
        </is>
      </c>
      <c r="B22" s="285" t="n">
        <v>23333.3</v>
      </c>
      <c r="C22" s="286" t="n">
        <v>1</v>
      </c>
      <c r="D22" s="286" t="n">
        <v>1</v>
      </c>
      <c r="E22" s="286" t="n">
        <v>1</v>
      </c>
      <c r="F22" s="286" t="n">
        <v>1</v>
      </c>
      <c r="G22" s="286" t="n">
        <v>1</v>
      </c>
      <c r="H22" s="286" t="n">
        <v>1</v>
      </c>
      <c r="I22" s="287">
        <f>SUM(C22:H22)</f>
        <v/>
      </c>
      <c r="J22" s="288">
        <f>I22*B22</f>
        <v/>
      </c>
    </row>
    <row r="23">
      <c r="A23" s="289" t="inlineStr">
        <is>
          <t>월 시딩 총건수</t>
        </is>
      </c>
      <c r="B23" s="290" t="inlineStr"/>
      <c r="C23" s="291">
        <f>C5+C6+C7+C8+C9+C10</f>
        <v/>
      </c>
      <c r="D23" s="291">
        <f>D5+D6+D7+D8+D9+D10</f>
        <v/>
      </c>
      <c r="E23" s="291">
        <f>E5+E6+E7+E8+E9+E10</f>
        <v/>
      </c>
      <c r="F23" s="291">
        <f>F5+F6+F7+F8+F9+F10</f>
        <v/>
      </c>
      <c r="G23" s="291">
        <f>G5+G6+G7+G8+G9+G10</f>
        <v/>
      </c>
      <c r="H23" s="291">
        <f>H5+H6+H7+H8+H9+H10</f>
        <v/>
      </c>
      <c r="I23" s="291">
        <f>SUM(C23:H23)</f>
        <v/>
      </c>
      <c r="J23" s="290" t="inlineStr"/>
    </row>
    <row r="24">
      <c r="A24" s="292" t="inlineStr">
        <is>
          <t>총 견적 (VAT 별도)</t>
        </is>
      </c>
      <c r="J24" s="293">
        <f>J5+J6+J7+J8+J9+J10+J12+J14+J15+J16+J18+J19+J20+J22</f>
        <v/>
      </c>
    </row>
  </sheetData>
  <mergeCells count="6">
    <mergeCell ref="A17:J17"/>
    <mergeCell ref="A21:J21"/>
    <mergeCell ref="A4:J4"/>
    <mergeCell ref="A24:I24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2026-06-18T06:55:54Z</dcterms:created>
  <dcterms:modified xmlns:dcterms="http://purl.org/dc/terms/" xmlns:xsi="http://www.w3.org/2001/XMLSchema-instance" xsi:type="dcterms:W3CDTF">2026-06-18T15:53:29Z</dcterms:modified>
  <cp:lastModifiedBy>배 영진</cp:lastModifiedBy>
</cp:coreProperties>
</file>