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제안" sheetId="1" state="visible" r:id="rId1"/>
    <sheet xmlns:r="http://schemas.openxmlformats.org/officeDocument/2006/relationships" name="견적상세" sheetId="2" state="visible" r:id="rId2"/>
    <sheet xmlns:r="http://schemas.openxmlformats.org/officeDocument/2006/relationships" name="월별 액션플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* #,##0_-;-* #,##0_-;_-* &quot;-&quot;_-;_-@_-"/>
    <numFmt numFmtId="165" formatCode="0.0%"/>
  </numFmts>
  <fonts count="13">
    <font>
      <name val="Calibri"/>
      <family val="2"/>
      <color theme="1"/>
      <sz val="11"/>
      <scheme val="minor"/>
    </font>
    <font>
      <name val="맑은 고딕"/>
      <b val="1"/>
      <color rgb="00262626"/>
      <sz val="18"/>
    </font>
    <font>
      <name val="맑은 고딕"/>
      <b val="1"/>
      <color rgb="00262626"/>
      <sz val="10"/>
    </font>
    <font>
      <name val="맑은 고딕"/>
      <color rgb="00262626"/>
      <sz val="10"/>
    </font>
    <font>
      <name val="맑은 고딕"/>
      <b val="1"/>
      <color rgb="00FF0000"/>
      <sz val="10"/>
    </font>
    <font>
      <name val="맑은 고딕"/>
      <b val="1"/>
      <color rgb="00808080"/>
      <sz val="9"/>
    </font>
    <font>
      <name val="맑은 고딕"/>
      <b val="1"/>
      <color rgb="00262626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color rgb="00262626"/>
      <sz val="9"/>
    </font>
    <font>
      <name val="맑은 고딕"/>
      <color rgb="00082A08"/>
      <sz val="9"/>
    </font>
    <font>
      <name val="맑은 고딕"/>
      <b val="1"/>
      <color rgb="00082A08"/>
      <sz val="10"/>
    </font>
    <font>
      <name val="맑은 고딕"/>
      <b val="1"/>
      <color rgb="00262626"/>
      <sz val="14"/>
    </font>
  </fonts>
  <fills count="8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404040"/>
      </patternFill>
    </fill>
    <fill>
      <patternFill patternType="solid">
        <fgColor rgb="0082DC28"/>
      </patternFill>
    </fill>
    <fill>
      <patternFill patternType="solid">
        <fgColor rgb="0062A81B"/>
      </patternFill>
    </fill>
    <fill>
      <patternFill patternType="solid">
        <fgColor rgb="00082A08"/>
      </patternFill>
    </fill>
    <fill>
      <patternFill patternType="solid">
        <fgColor rgb="00D9D9D9"/>
      </patternFill>
    </fill>
  </fills>
  <borders count="20">
    <border>
      <left/>
      <right/>
      <top/>
      <bottom/>
      <diagonal/>
    </border>
    <border>
      <left style="hair">
        <color rgb="00D9D9D9"/>
      </left>
      <right style="hair">
        <color rgb="00D9D9D9"/>
      </right>
    </border>
    <border>
      <left style="thin">
        <color rgb="00808080"/>
      </left>
      <top style="thin">
        <color rgb="00808080"/>
      </top>
    </border>
    <border>
      <right style="thin">
        <color rgb="00808080"/>
      </right>
      <top style="thin">
        <color rgb="00808080"/>
      </top>
    </border>
    <border>
      <left style="thin">
        <color rgb="00808080"/>
      </left>
    </border>
    <border>
      <right style="thin">
        <color rgb="00808080"/>
      </right>
    </border>
    <border>
      <left style="thin">
        <color rgb="00808080"/>
      </left>
      <bottom style="thin">
        <color rgb="00808080"/>
      </bottom>
    </border>
    <border>
      <right style="thin">
        <color rgb="00808080"/>
      </right>
      <bottom style="thin">
        <color rgb="00808080"/>
      </bottom>
    </border>
    <border>
      <left style="hair">
        <color rgb="00D9D9D9"/>
      </left>
      <right style="hair">
        <color rgb="00D9D9D9"/>
      </right>
      <top style="thin">
        <color rgb="00808080"/>
      </top>
    </border>
    <border>
      <left style="hair">
        <color rgb="00D9D9D9"/>
      </left>
      <right style="hair">
        <color rgb="00D9D9D9"/>
      </right>
      <bottom style="thin">
        <color rgb="00808080"/>
      </bottom>
    </border>
    <border>
      <left/>
      <right/>
      <top style="thin">
        <color rgb="00808080"/>
      </top>
    </border>
    <border>
      <left/>
      <right/>
      <bottom style="thin">
        <color rgb="0080808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2" pivotButton="0" quotePrefix="0" xfId="0"/>
    <xf numFmtId="0" fontId="5" fillId="2" borderId="8" applyAlignment="1" pivotButton="0" quotePrefix="0" xfId="0">
      <alignment horizontal="left" vertical="center"/>
    </xf>
    <xf numFmtId="0" fontId="0" fillId="2" borderId="10" pivotButton="0" quotePrefix="0" xfId="0"/>
    <xf numFmtId="0" fontId="0" fillId="2" borderId="3" pivotButton="0" quotePrefix="0" xfId="0"/>
    <xf numFmtId="0" fontId="0" fillId="2" borderId="4" pivotButton="0" quotePrefix="0" xfId="0"/>
    <xf numFmtId="0" fontId="2" fillId="0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0" fillId="2" borderId="5" pivotButton="0" quotePrefix="0" xfId="0"/>
    <xf numFmtId="0" fontId="0" fillId="0" borderId="1" pivotButton="0" quotePrefix="0" xfId="0"/>
    <xf numFmtId="0" fontId="3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2" borderId="6" pivotButton="0" quotePrefix="0" xfId="0"/>
    <xf numFmtId="0" fontId="0" fillId="2" borderId="9" pivotButton="0" quotePrefix="0" xfId="0"/>
    <xf numFmtId="0" fontId="0" fillId="2" borderId="11" pivotButton="0" quotePrefix="0" xfId="0"/>
    <xf numFmtId="0" fontId="0" fillId="2" borderId="7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3" borderId="12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8" fillId="5" borderId="12" applyAlignment="1" pivotButton="0" quotePrefix="0" xfId="0">
      <alignment horizontal="center" vertical="center" wrapText="1"/>
    </xf>
    <xf numFmtId="0" fontId="8" fillId="6" borderId="12" applyAlignment="1" pivotButton="0" quotePrefix="0" xfId="0">
      <alignment horizontal="center" vertical="center" wrapText="1"/>
    </xf>
    <xf numFmtId="0" fontId="2" fillId="7" borderId="12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left" vertical="center" wrapText="1"/>
    </xf>
    <xf numFmtId="0" fontId="10" fillId="0" borderId="12" applyAlignment="1" pivotButton="0" quotePrefix="0" xfId="0">
      <alignment horizontal="left" vertical="center" wrapText="1"/>
    </xf>
    <xf numFmtId="0" fontId="2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164" fontId="3" fillId="0" borderId="12" applyAlignment="1" pivotButton="0" quotePrefix="0" xfId="0">
      <alignment horizontal="center" vertical="center"/>
    </xf>
    <xf numFmtId="164" fontId="2" fillId="0" borderId="12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164" fontId="11" fillId="0" borderId="12" applyAlignment="1" pivotButton="0" quotePrefix="0" xfId="0">
      <alignment horizontal="center" vertical="center"/>
    </xf>
    <xf numFmtId="0" fontId="2" fillId="7" borderId="12" applyAlignment="1" pivotButton="0" quotePrefix="0" xfId="0">
      <alignment horizontal="center" vertical="center"/>
    </xf>
    <xf numFmtId="0" fontId="3" fillId="7" borderId="12" applyAlignment="1" pivotButton="0" quotePrefix="0" xfId="0">
      <alignment horizontal="center" vertical="center"/>
    </xf>
    <xf numFmtId="164" fontId="2" fillId="7" borderId="12" applyAlignment="1" pivotButton="0" quotePrefix="0" xfId="0">
      <alignment horizontal="center" vertical="center"/>
    </xf>
    <xf numFmtId="164" fontId="11" fillId="7" borderId="12" applyAlignment="1" pivotButton="0" quotePrefix="0" xfId="0">
      <alignment horizontal="center" vertical="center"/>
    </xf>
    <xf numFmtId="164" fontId="2" fillId="4" borderId="12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8" fillId="3" borderId="12" applyAlignment="1" pivotButton="0" quotePrefix="0" xfId="0">
      <alignment horizontal="right" vertical="center"/>
    </xf>
    <xf numFmtId="164" fontId="8" fillId="6" borderId="12" applyAlignment="1" pivotButton="0" quotePrefix="0" xfId="0">
      <alignment horizontal="center" vertical="center"/>
    </xf>
    <xf numFmtId="0" fontId="9" fillId="0" borderId="0" applyAlignment="1" pivotButton="0" quotePrefix="0" xfId="0">
      <alignment horizontal="right" vertical="center"/>
    </xf>
    <xf numFmtId="164" fontId="10" fillId="0" borderId="12" applyAlignment="1" pivotButton="0" quotePrefix="0" xfId="0">
      <alignment horizontal="right" vertical="center"/>
    </xf>
    <xf numFmtId="165" fontId="10" fillId="0" borderId="12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/>
    </xf>
    <xf numFmtId="0" fontId="2" fillId="7" borderId="12" applyAlignment="1" pivotButton="0" quotePrefix="0" xfId="0">
      <alignment horizontal="left" vertical="center"/>
    </xf>
    <xf numFmtId="0" fontId="3" fillId="0" borderId="12" applyAlignment="1" pivotButton="0" quotePrefix="0" xfId="0">
      <alignment horizontal="left" vertical="center"/>
    </xf>
    <xf numFmtId="0" fontId="2" fillId="0" borderId="1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7"/>
  <sheetViews>
    <sheetView workbookViewId="0">
      <selection activeCell="A1" sqref="A1"/>
    </sheetView>
  </sheetViews>
  <sheetFormatPr baseColWidth="8" defaultRowHeight="15"/>
  <cols>
    <col width="2.6" customWidth="1" min="1" max="1"/>
    <col width="5.8" customWidth="1" min="2" max="2"/>
    <col width="23.7" customWidth="1" min="3" max="3"/>
    <col width="3" customWidth="1" min="4" max="4"/>
    <col width="96" customWidth="1" min="5" max="5"/>
    <col width="5.8" customWidth="1" min="6" max="6"/>
  </cols>
  <sheetData>
    <row r="2" ht="10" customHeight="1">
      <c r="B2" s="1" t="n"/>
      <c r="C2" s="2" t="inlineStr">
        <is>
          <t>BAT  |  견적 제안서</t>
        </is>
      </c>
      <c r="D2" s="3" t="n"/>
      <c r="E2" s="3" t="n"/>
      <c r="F2" s="4" t="n"/>
    </row>
    <row r="3" ht="26" customHeight="1">
      <c r="B3" s="5" t="n"/>
      <c r="C3" s="6" t="inlineStr">
        <is>
          <t>· 프로젝트명</t>
        </is>
      </c>
      <c r="E3" s="7" t="inlineStr">
        <is>
          <t>올리브영 PB 올더베러 브랜드 빌딩 캠페인</t>
        </is>
      </c>
      <c r="F3" s="8" t="n"/>
    </row>
    <row r="4">
      <c r="B4" s="5" t="n"/>
      <c r="C4" s="9" t="n"/>
      <c r="F4" s="8" t="n"/>
    </row>
    <row r="5" ht="18" customHeight="1">
      <c r="B5" s="5" t="n"/>
      <c r="C5" s="6" t="inlineStr">
        <is>
          <t>· 집행 기간</t>
        </is>
      </c>
      <c r="E5" s="10" t="inlineStr">
        <is>
          <t>2026년 7월 1일 ~ 2026년 12월 31일 (6개월) · 인플루언서 시딩·바이럴 통합</t>
        </is>
      </c>
      <c r="F5" s="8" t="n"/>
    </row>
    <row r="6">
      <c r="B6" s="5" t="n"/>
      <c r="C6" s="9" t="n"/>
      <c r="F6" s="8" t="n"/>
    </row>
    <row r="7" ht="18" customHeight="1">
      <c r="B7" s="5" t="n"/>
      <c r="C7" s="6" t="inlineStr">
        <is>
          <t>· 집행 내용</t>
        </is>
      </c>
      <c r="E7" s="10" t="inlineStr">
        <is>
          <t>① 인플루언서 시딩(나노·마이크로 코어) 중심 진성 UGC 대량 확산 — ‘선택 증거’ 확보</t>
        </is>
      </c>
      <c r="F7" s="8" t="n"/>
    </row>
    <row r="8" ht="18" customHeight="1">
      <c r="B8" s="5" t="n"/>
      <c r="C8" s="9" t="n"/>
      <c r="E8" s="10" t="inlineStr">
        <is>
          <t>② 바이럴(커뮤니티·파워페이지·챌린저스·어필리에이트·GEO/AEO) — 구매 직전 ‘확신’·올영 랭킹 1위 견인</t>
        </is>
      </c>
      <c r="F8" s="8" t="n"/>
    </row>
    <row r="9" ht="18" customHeight="1">
      <c r="B9" s="5" t="n"/>
      <c r="C9" s="9" t="n"/>
      <c r="E9" s="10" t="inlineStr">
        <is>
          <t>③ 위닝 콘텐츠·시딩 자산을 올영세일 구매 전환으로 직접 연결</t>
        </is>
      </c>
      <c r="F9" s="8" t="n"/>
    </row>
    <row r="10">
      <c r="B10" s="5" t="n"/>
      <c r="C10" s="9" t="n"/>
      <c r="F10" s="8" t="n"/>
    </row>
    <row r="11" ht="18" customHeight="1">
      <c r="B11" s="5" t="n"/>
      <c r="C11" s="6" t="inlineStr">
        <is>
          <t>· 견적 상세</t>
        </is>
      </c>
      <c r="E11" s="10" t="inlineStr">
        <is>
          <t>· 총 견적 : KRW 249,450,000원 (VAT 별도)   ※ 마크업 포함, 2.5억 내</t>
        </is>
      </c>
      <c r="F11" s="8" t="n"/>
    </row>
    <row r="12" ht="18" customHeight="1">
      <c r="B12" s="5" t="n"/>
      <c r="C12" s="9" t="n"/>
      <c r="E12" s="10" t="inlineStr">
        <is>
          <t>· 크리에이터·집행 원고료 : 244,450,000원</t>
        </is>
      </c>
      <c r="F12" s="8" t="n"/>
    </row>
    <row r="13" ht="18" customHeight="1">
      <c r="B13" s="5" t="n"/>
      <c r="C13" s="9" t="n"/>
      <c r="E13" s="10" t="inlineStr">
        <is>
          <t>· 예상 마크업 : 5,000,000원 (커뮤니티·챌린저스 항목 한정 20%)</t>
        </is>
      </c>
      <c r="F13" s="8" t="n"/>
    </row>
    <row r="14" ht="18" customHeight="1">
      <c r="B14" s="5" t="n"/>
      <c r="C14" s="9" t="n"/>
      <c r="E14" s="10" t="inlineStr">
        <is>
          <t>· 목표 시딩 수량 : IG·TikTok·YT·Blog 등 총 575건</t>
        </is>
      </c>
      <c r="F14" s="8" t="n"/>
    </row>
    <row r="15">
      <c r="B15" s="5" t="n"/>
      <c r="C15" s="9" t="n"/>
      <c r="F15" s="8" t="n"/>
    </row>
    <row r="16" ht="18" customHeight="1">
      <c r="B16" s="5" t="n"/>
      <c r="C16" s="6" t="inlineStr">
        <is>
          <t>· A/C 견적 상세</t>
        </is>
      </c>
      <c r="E16" s="11" t="inlineStr">
        <is>
          <t>· 크리에이터 시딩 : 206,250,000원  (마이크로 235 · 나노 235 · 매크로 15 · KOL 60 · X 15 · 블로그 15)</t>
        </is>
      </c>
      <c r="F16" s="8" t="n"/>
    </row>
    <row r="17" ht="18" customHeight="1">
      <c r="B17" s="5" t="n"/>
      <c r="C17" s="9" t="n"/>
      <c r="E17" s="11" t="inlineStr">
        <is>
          <t>· 콘텐츠·바이럴 : 38,200,000원  (파워페이지 9 · 커뮤니티 체험단 3 · 챌린저스 2회 · 어필리에이트 60)</t>
        </is>
      </c>
      <c r="F17" s="8" t="n"/>
    </row>
    <row r="18" ht="18" customHeight="1">
      <c r="B18" s="5" t="n"/>
      <c r="C18" s="9" t="n"/>
      <c r="E18" s="11" t="inlineStr">
        <is>
          <t>· 마크업 (커뮤니티·챌린저스 20%) : 5,000,000원</t>
        </is>
      </c>
      <c r="F18" s="8" t="n"/>
    </row>
    <row r="19" ht="26" customHeight="1">
      <c r="B19" s="5" t="n"/>
      <c r="C19" s="9" t="n"/>
      <c r="E19" s="12" t="inlineStr">
        <is>
          <t>· 총 합계 : 249,450,000원 (VAT 별도)</t>
        </is>
      </c>
      <c r="F19" s="8" t="n"/>
    </row>
    <row r="20">
      <c r="B20" s="5" t="n"/>
      <c r="C20" s="9" t="n"/>
      <c r="F20" s="8" t="n"/>
    </row>
    <row r="21" ht="18" customHeight="1">
      <c r="B21" s="5" t="n"/>
      <c r="C21" s="6" t="inlineStr">
        <is>
          <t>· 원고료/마크업 안내</t>
        </is>
      </c>
      <c r="E21" s="10" t="inlineStr">
        <is>
          <t>· 마크업은 ‘커뮤니티 체험단’·‘챌린저스’ 2개 항목에만 20% 적용</t>
        </is>
      </c>
      <c r="F21" s="8" t="n"/>
    </row>
    <row r="22" ht="18" customHeight="1">
      <c r="B22" s="5" t="n"/>
      <c r="C22" s="9" t="n"/>
      <c r="E22" s="10" t="inlineStr">
        <is>
          <t>· 그 외 크리에이터 시딩·바이럴·어필리에이트는 원고료(집행 단가) 기준</t>
        </is>
      </c>
      <c r="F22" s="8" t="n"/>
    </row>
    <row r="23" ht="18" customHeight="1">
      <c r="B23" s="5" t="n"/>
      <c r="C23" s="9" t="n"/>
      <c r="E23" s="10" t="inlineStr">
        <is>
          <t>· 나노 25만 / 마이크로 50만 / 매크로 80만 (IG·TikTok 동일 단가)</t>
        </is>
      </c>
      <c r="F23" s="8" t="n"/>
    </row>
    <row r="24">
      <c r="B24" s="5" t="n"/>
      <c r="C24" s="9" t="n"/>
      <c r="F24" s="8" t="n"/>
    </row>
    <row r="25" ht="18" customHeight="1">
      <c r="B25" s="5" t="n"/>
      <c r="C25" s="6" t="inlineStr">
        <is>
          <t>· 콘텐츠 제작 안내</t>
        </is>
      </c>
      <c r="E25" s="10" t="inlineStr">
        <is>
          <t>· 별도 콘텐츠 제작비(KV·디자인·영상·EGC) 미계상 → 전액 인플루언서 시딩(마이크로·나노 5:5)으로 재배분</t>
        </is>
      </c>
      <c r="F25" s="8" t="n"/>
    </row>
    <row r="26" ht="18" customHeight="1">
      <c r="B26" s="5" t="n"/>
      <c r="C26" s="9" t="n"/>
      <c r="E26" s="10" t="inlineStr">
        <is>
          <t>· UGC·Half EGC·EGC 영상은 크리에이터 시딩 원고료 내에서 제작·확보 · 퍼포먼스 항목 없음</t>
        </is>
      </c>
      <c r="F26" s="8" t="n"/>
    </row>
    <row r="27">
      <c r="B27" s="5" t="n"/>
      <c r="C27" s="9" t="n"/>
      <c r="F27" s="8" t="n"/>
    </row>
    <row r="28" ht="18" customHeight="1">
      <c r="B28" s="5" t="n"/>
      <c r="C28" s="6" t="inlineStr">
        <is>
          <t>· 무상 지원 내역</t>
        </is>
      </c>
      <c r="E28" s="10" t="inlineStr">
        <is>
          <t>· [대행 기간 솔루션 무상 지원] 대행 수행 시 2개 솔루션 이용료를 대행 종료시점까지 무상 지원 예정</t>
        </is>
      </c>
      <c r="F28" s="8" t="n"/>
    </row>
    <row r="29" ht="18" customHeight="1">
      <c r="B29" s="5" t="n"/>
      <c r="C29" s="9" t="n"/>
      <c r="E29" s="13" t="inlineStr">
        <is>
          <t>- 스프레이ai 솔루션 월 이용료 420만원(브랜드 1개 기준)  ※ 연간 5,040만원 상당</t>
        </is>
      </c>
      <c r="F29" s="8" t="n"/>
    </row>
    <row r="30" ht="18" customHeight="1">
      <c r="B30" s="5" t="n"/>
      <c r="C30" s="9" t="n"/>
      <c r="E30" s="10" t="inlineStr">
        <is>
          <t>- 피처링 스탠다드형 솔루션 (연간 이용료 378만원 상당)</t>
        </is>
      </c>
      <c r="F30" s="8" t="n"/>
    </row>
    <row r="31" ht="18" customHeight="1">
      <c r="B31" s="5" t="n"/>
      <c r="C31" s="9" t="n"/>
      <c r="E31" s="10" t="inlineStr">
        <is>
          <t>· 고성과 리포트 대시보드 / 올리비아 AI 콘텐츠·리포팅 어시스턴트</t>
        </is>
      </c>
      <c r="F31" s="8" t="n"/>
    </row>
    <row r="32" ht="18" customHeight="1">
      <c r="B32" s="5" t="n"/>
      <c r="C32" s="9" t="n"/>
      <c r="E32" s="10" t="inlineStr">
        <is>
          <t>· VOC 딥다이브 리포트 / Claude AI 심의 사전검수 / 월간 성과 리포팅</t>
        </is>
      </c>
      <c r="F32" s="8" t="n"/>
    </row>
    <row r="33">
      <c r="B33" s="5" t="n"/>
      <c r="C33" s="9" t="n"/>
      <c r="F33" s="8" t="n"/>
    </row>
    <row r="34" ht="18" customHeight="1">
      <c r="B34" s="5" t="n"/>
      <c r="C34" s="6" t="inlineStr">
        <is>
          <t>· 특이사항</t>
        </is>
      </c>
      <c r="E34" s="10" t="inlineStr">
        <is>
          <t>· 시장 단가 변동 및 모집 기간에 따라 총 원고료는 소폭 변동될 수 있습니다.</t>
        </is>
      </c>
      <c r="F34" s="8" t="n"/>
    </row>
    <row r="35" ht="18" customHeight="1">
      <c r="B35" s="5" t="n"/>
      <c r="C35" s="9" t="n"/>
      <c r="E35" s="10" t="inlineStr">
        <is>
          <t>· 캠페인별 상세 전략·일정은 ‘견적상세’ 및 ‘월별 액션플랜’ 시트를 확인 바랍니다.</t>
        </is>
      </c>
      <c r="F35" s="8" t="n"/>
    </row>
    <row r="36">
      <c r="B36" s="5" t="n"/>
      <c r="C36" s="9" t="n"/>
      <c r="F36" s="8" t="n"/>
    </row>
    <row r="37" ht="10" customHeight="1">
      <c r="B37" s="14" t="n"/>
      <c r="C37" s="15" t="n"/>
      <c r="D37" s="16" t="n"/>
      <c r="E37" s="16" t="n"/>
      <c r="F37" s="17" t="n"/>
    </row>
  </sheetData>
  <mergeCells count="7">
    <mergeCell ref="C7:C9"/>
    <mergeCell ref="C21:C23"/>
    <mergeCell ref="C34:C35"/>
    <mergeCell ref="C25:C26"/>
    <mergeCell ref="C16:C19"/>
    <mergeCell ref="C11:C14"/>
    <mergeCell ref="C28:C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12" customWidth="1" min="4" max="4"/>
    <col width="38" customWidth="1" min="5" max="5"/>
    <col width="24" customWidth="1" min="6" max="6"/>
    <col width="24" customWidth="1" min="7" max="7"/>
    <col width="8" customWidth="1" min="8" max="8"/>
    <col width="9" customWidth="1" min="9" max="9"/>
    <col width="12" customWidth="1" min="10" max="10"/>
    <col width="13" customWidth="1" min="11" max="11"/>
    <col width="12" customWidth="1" min="12" max="12"/>
    <col width="14" customWidth="1" min="13" max="13"/>
  </cols>
  <sheetData>
    <row r="1">
      <c r="A1" s="18" t="inlineStr">
        <is>
          <t>올더베러 26년 하반기 인플루언서·바이럴 견적 상세   (단위: 원 / VAT 별도)</t>
        </is>
      </c>
    </row>
    <row r="2">
      <c r="A2" s="19" t="inlineStr">
        <is>
          <t>※ 마크업은 커뮤니티 체험단·챌린저스 항목에만 20% 적용 · 콘텐츠 제작비는 시딩(마이크로·나노)으로 재배분 · 퍼포먼스 항목 없음</t>
        </is>
      </c>
    </row>
    <row r="4" ht="30" customHeight="1">
      <c r="A4" s="20" t="inlineStr">
        <is>
          <t>구분</t>
        </is>
      </c>
      <c r="B4" s="20" t="inlineStr">
        <is>
          <t>제품 / 대상</t>
        </is>
      </c>
      <c r="C4" s="20" t="inlineStr">
        <is>
          <t>기간</t>
        </is>
      </c>
      <c r="D4" s="20" t="inlineStr">
        <is>
          <t>채널</t>
        </is>
      </c>
      <c r="E4" s="20" t="inlineStr">
        <is>
          <t>캠페인 및 활용 목적</t>
        </is>
      </c>
      <c r="F4" s="20" t="inlineStr">
        <is>
          <t>타겟 페르소나</t>
        </is>
      </c>
      <c r="G4" s="20" t="inlineStr">
        <is>
          <t>필수 해시태그</t>
        </is>
      </c>
      <c r="H4" s="21" t="inlineStr">
        <is>
          <t>목표수량</t>
        </is>
      </c>
      <c r="I4" s="20" t="inlineStr">
        <is>
          <t>등급</t>
        </is>
      </c>
      <c r="J4" s="22" t="inlineStr">
        <is>
          <t>기본원고료</t>
        </is>
      </c>
      <c r="K4" s="21" t="inlineStr">
        <is>
          <t>예상원고료</t>
        </is>
      </c>
      <c r="L4" s="22" t="inlineStr">
        <is>
          <t>마크업(20%)</t>
        </is>
      </c>
      <c r="M4" s="23" t="inlineStr">
        <is>
          <t>총비용</t>
        </is>
      </c>
    </row>
    <row r="5" ht="44" customHeight="1">
      <c r="A5" s="24" t="inlineStr">
        <is>
          <t>1. 크리에이터 시딩</t>
        </is>
      </c>
      <c r="B5" s="25" t="inlineStr">
        <is>
          <t>마이크로 (UGC)</t>
        </is>
      </c>
      <c r="C5" s="26" t="inlineStr">
        <is>
          <t>7~12월</t>
        </is>
      </c>
      <c r="D5" s="27" t="inlineStr">
        <is>
          <t>IG·TikTok</t>
        </is>
      </c>
      <c r="E5" s="28" t="inlineStr">
        <is>
          <t>진성 UGC 대량 확산으로 ‘선택 증거’ 확보 · 위닝 메시지 발굴 및 2차 콘텐츠 활용</t>
        </is>
      </c>
      <c r="F5" s="28" t="inlineStr">
        <is>
          <t>직장인 루틴형 2535 — 웰니스 루틴 보유·편의성 중시</t>
        </is>
      </c>
      <c r="G5" s="29" t="inlineStr">
        <is>
          <t>#올더베러 #오늘도베러 #데일리웰니스</t>
        </is>
      </c>
      <c r="H5" s="30" t="n">
        <v>235</v>
      </c>
      <c r="I5" s="31" t="inlineStr">
        <is>
          <t>마이크로</t>
        </is>
      </c>
      <c r="J5" s="32" t="n">
        <v>500000</v>
      </c>
      <c r="K5" s="33">
        <f>H5*J5</f>
        <v/>
      </c>
      <c r="L5" s="32" t="n">
        <v>0</v>
      </c>
      <c r="M5" s="33">
        <f>K5+L5</f>
        <v/>
      </c>
    </row>
    <row r="6" ht="44" customHeight="1">
      <c r="A6" s="34" t="n"/>
      <c r="B6" s="25" t="inlineStr">
        <is>
          <t>나노</t>
        </is>
      </c>
      <c r="C6" s="26" t="inlineStr">
        <is>
          <t>7~12월</t>
        </is>
      </c>
      <c r="D6" s="27" t="inlineStr">
        <is>
          <t>IG</t>
        </is>
      </c>
      <c r="E6" s="28" t="inlineStr">
        <is>
          <t>다수 진성 후기로 ‘익숙함·신뢰’ 형성 · 검색·해시태그 자산 축적(#오늘도베러)</t>
        </is>
      </c>
      <c r="F6" s="28" t="inlineStr">
        <is>
          <t>웰니스 입문형 2030 — 선택 장벽·가격 민감</t>
        </is>
      </c>
      <c r="G6" s="29" t="inlineStr">
        <is>
          <t>#올더베러 #오늘도베러 #웰니스입문</t>
        </is>
      </c>
      <c r="H6" s="30" t="n">
        <v>235</v>
      </c>
      <c r="I6" s="31" t="inlineStr">
        <is>
          <t>나노</t>
        </is>
      </c>
      <c r="J6" s="32" t="n">
        <v>250000</v>
      </c>
      <c r="K6" s="33">
        <f>H6*J6</f>
        <v/>
      </c>
      <c r="L6" s="32" t="n">
        <v>0</v>
      </c>
      <c r="M6" s="33">
        <f>K6+L6</f>
        <v/>
      </c>
    </row>
    <row r="7" ht="44" customHeight="1">
      <c r="A7" s="34" t="n"/>
      <c r="B7" s="25" t="inlineStr">
        <is>
          <t>매크로</t>
        </is>
      </c>
      <c r="C7" s="26" t="inlineStr">
        <is>
          <t>8·11·12월</t>
        </is>
      </c>
      <c r="D7" s="27" t="inlineStr">
        <is>
          <t>IG·TikTok·YT</t>
        </is>
      </c>
      <c r="E7" s="28" t="inlineStr">
        <is>
          <t>도달·화제성 점화 — 올영세일/블프 대세감 형성</t>
        </is>
      </c>
      <c r="F7" s="28" t="inlineStr">
        <is>
          <t>헬시플레저 라이프 4050 포함 광역</t>
        </is>
      </c>
      <c r="G7" s="29" t="inlineStr">
        <is>
          <t>#올더베러 #올영세일 #웰니스대세</t>
        </is>
      </c>
      <c r="H7" s="30" t="n">
        <v>15</v>
      </c>
      <c r="I7" s="31" t="inlineStr">
        <is>
          <t>매크로</t>
        </is>
      </c>
      <c r="J7" s="32" t="n">
        <v>800000</v>
      </c>
      <c r="K7" s="33">
        <f>H7*J7</f>
        <v/>
      </c>
      <c r="L7" s="32" t="n">
        <v>0</v>
      </c>
      <c r="M7" s="33">
        <f>K7+L7</f>
        <v/>
      </c>
    </row>
    <row r="8" ht="44" customHeight="1">
      <c r="A8" s="34" t="n"/>
      <c r="B8" s="25" t="inlineStr">
        <is>
          <t>KOL 무가시딩</t>
        </is>
      </c>
      <c r="C8" s="26" t="inlineStr">
        <is>
          <t>7~12월</t>
        </is>
      </c>
      <c r="D8" s="27" t="inlineStr">
        <is>
          <t>IG·YT</t>
        </is>
      </c>
      <c r="E8" s="28" t="inlineStr">
        <is>
          <t>유기적 관계 기반 자발 콘텐츠·장기 팬덤 (성과 시 유상 전환)</t>
        </is>
      </c>
      <c r="F8" s="28" t="inlineStr">
        <is>
          <t>30대 직장인·웰니스 마이크로~매크로</t>
        </is>
      </c>
      <c r="G8" s="29" t="inlineStr">
        <is>
          <t>#올더베러 #오늘도베러</t>
        </is>
      </c>
      <c r="H8" s="30" t="n">
        <v>60</v>
      </c>
      <c r="I8" s="31" t="inlineStr">
        <is>
          <t>무가</t>
        </is>
      </c>
      <c r="J8" s="32" t="n">
        <v>100000</v>
      </c>
      <c r="K8" s="33">
        <f>H8*J8</f>
        <v/>
      </c>
      <c r="L8" s="32" t="n">
        <v>0</v>
      </c>
      <c r="M8" s="33">
        <f>K8+L8</f>
        <v/>
      </c>
    </row>
    <row r="9" ht="44" customHeight="1">
      <c r="A9" s="34" t="n"/>
      <c r="B9" s="25" t="inlineStr">
        <is>
          <t>X (트위터) 시딩</t>
        </is>
      </c>
      <c r="C9" s="26" t="inlineStr">
        <is>
          <t>8·11·12월</t>
        </is>
      </c>
      <c r="D9" s="27" t="inlineStr">
        <is>
          <t>X</t>
        </is>
      </c>
      <c r="E9" s="28" t="inlineStr">
        <is>
          <t>실시간 트렌드·밈 결합 바이럴 확산</t>
        </is>
      </c>
      <c r="F9" s="28" t="inlineStr">
        <is>
          <t>리뷰·밈 특화 2030</t>
        </is>
      </c>
      <c r="G9" s="29" t="inlineStr">
        <is>
          <t>#올더베러 #올영템</t>
        </is>
      </c>
      <c r="H9" s="30" t="n">
        <v>15</v>
      </c>
      <c r="I9" s="31" t="inlineStr">
        <is>
          <t>-</t>
        </is>
      </c>
      <c r="J9" s="32" t="n">
        <v>500000</v>
      </c>
      <c r="K9" s="33">
        <f>H9*J9</f>
        <v/>
      </c>
      <c r="L9" s="32" t="n">
        <v>0</v>
      </c>
      <c r="M9" s="33">
        <f>K9+L9</f>
        <v/>
      </c>
    </row>
    <row r="10" ht="44" customHeight="1">
      <c r="A10" s="35" t="n"/>
      <c r="B10" s="25" t="inlineStr">
        <is>
          <t>네이버 블로그</t>
        </is>
      </c>
      <c r="C10" s="26" t="inlineStr">
        <is>
          <t>8·11·12월</t>
        </is>
      </c>
      <c r="D10" s="27" t="inlineStr">
        <is>
          <t>Blog</t>
        </is>
      </c>
      <c r="E10" s="28" t="inlineStr">
        <is>
          <t>검색 후기·정보 탐색 대응 — 상위 노출 점유</t>
        </is>
      </c>
      <c r="F10" s="28" t="inlineStr">
        <is>
          <t>정보성 리뷰 블로거</t>
        </is>
      </c>
      <c r="G10" s="29" t="inlineStr">
        <is>
          <t>#올더베러 #웰니스구미추천</t>
        </is>
      </c>
      <c r="H10" s="30" t="n">
        <v>15</v>
      </c>
      <c r="I10" s="31" t="inlineStr">
        <is>
          <t>-</t>
        </is>
      </c>
      <c r="J10" s="32" t="n">
        <v>300000</v>
      </c>
      <c r="K10" s="33">
        <f>H10*J10</f>
        <v/>
      </c>
      <c r="L10" s="32" t="n">
        <v>0</v>
      </c>
      <c r="M10" s="33">
        <f>K10+L10</f>
        <v/>
      </c>
    </row>
    <row r="11" ht="44" customHeight="1">
      <c r="A11" s="24" t="inlineStr">
        <is>
          <t>2. 콘텐츠·바이럴</t>
        </is>
      </c>
      <c r="B11" s="25" t="inlineStr">
        <is>
          <t>파워페이지</t>
        </is>
      </c>
      <c r="C11" s="26" t="inlineStr">
        <is>
          <t>8·11·12월</t>
        </is>
      </c>
      <c r="D11" s="27" t="inlineStr">
        <is>
          <t>SNS</t>
        </is>
      </c>
      <c r="E11" s="28" t="inlineStr">
        <is>
          <t>SNS 정보성 추천 맥락 진입 — 알고리즘·검색 탭 노출</t>
        </is>
      </c>
      <c r="F11" s="28" t="inlineStr">
        <is>
          <t>구매 고의도·‘웰니스 구미 추천’ 검색자</t>
        </is>
      </c>
      <c r="G11" s="29" t="inlineStr">
        <is>
          <t>#올영추천템 #웰니스추천</t>
        </is>
      </c>
      <c r="H11" s="30" t="n">
        <v>9</v>
      </c>
      <c r="I11" s="31" t="inlineStr">
        <is>
          <t>-</t>
        </is>
      </c>
      <c r="J11" s="32" t="n">
        <v>800000</v>
      </c>
      <c r="K11" s="33">
        <f>H11*J11</f>
        <v/>
      </c>
      <c r="L11" s="32" t="n">
        <v>0</v>
      </c>
      <c r="M11" s="33">
        <f>K11+L11</f>
        <v/>
      </c>
    </row>
    <row r="12" ht="44" customHeight="1">
      <c r="A12" s="34" t="n"/>
      <c r="B12" s="25" t="inlineStr">
        <is>
          <t>커뮤니티 체험단</t>
        </is>
      </c>
      <c r="C12" s="26" t="inlineStr">
        <is>
          <t>8·11·12월</t>
        </is>
      </c>
      <c r="D12" s="27" t="inlineStr">
        <is>
          <t>뷰티앱·커뮤니티</t>
        </is>
      </c>
      <c r="E12" s="28" t="inlineStr">
        <is>
          <t>‘검증된 후기’ 볼륨·어워드·랭킹 참여로 신뢰 확보</t>
        </is>
      </c>
      <c r="F12" s="28" t="inlineStr">
        <is>
          <t>화해 등 카테고리 관여 高</t>
        </is>
      </c>
      <c r="G12" s="29" t="inlineStr">
        <is>
          <t>#올리브영 #웰니스어워드</t>
        </is>
      </c>
      <c r="H12" s="30" t="n">
        <v>3</v>
      </c>
      <c r="I12" s="31" t="inlineStr">
        <is>
          <t>-</t>
        </is>
      </c>
      <c r="J12" s="32" t="n">
        <v>5000000</v>
      </c>
      <c r="K12" s="33">
        <f>H12*J12</f>
        <v/>
      </c>
      <c r="L12" s="36">
        <f>K12*0.2</f>
        <v/>
      </c>
      <c r="M12" s="33">
        <f>K12+L12</f>
        <v/>
      </c>
    </row>
    <row r="13" ht="44" customHeight="1">
      <c r="A13" s="34" t="n"/>
      <c r="B13" s="25" t="inlineStr">
        <is>
          <t>챌린저스</t>
        </is>
      </c>
      <c r="C13" s="26" t="inlineStr">
        <is>
          <t>8·11월</t>
        </is>
      </c>
      <c r="D13" s="27" t="inlineStr">
        <is>
          <t>챌린저스 앱</t>
        </is>
      </c>
      <c r="E13" s="28" t="inlineStr">
        <is>
          <t>실구매·리뷰 인증 챌린지로 올영 카테고리 랭킹 1위 견인</t>
        </is>
      </c>
      <c r="F13" s="28" t="inlineStr">
        <is>
          <t>올영 액티브 유저(실구매 의사)</t>
        </is>
      </c>
      <c r="G13" s="29" t="inlineStr">
        <is>
          <t>#올영1위 #올더베러챌린지</t>
        </is>
      </c>
      <c r="H13" s="30" t="n">
        <v>2</v>
      </c>
      <c r="I13" s="31" t="inlineStr">
        <is>
          <t>-(회)</t>
        </is>
      </c>
      <c r="J13" s="32" t="n">
        <v>5000000</v>
      </c>
      <c r="K13" s="33">
        <f>H13*J13</f>
        <v/>
      </c>
      <c r="L13" s="36">
        <f>K13*0.2</f>
        <v/>
      </c>
      <c r="M13" s="33">
        <f>K13+L13</f>
        <v/>
      </c>
    </row>
    <row r="14" ht="44" customHeight="1">
      <c r="A14" s="35" t="n"/>
      <c r="B14" s="25" t="inlineStr">
        <is>
          <t>어필리에이트</t>
        </is>
      </c>
      <c r="C14" s="26" t="inlineStr">
        <is>
          <t>7~12월</t>
        </is>
      </c>
      <c r="D14" s="27" t="inlineStr">
        <is>
          <t>올영 쇼핑 큐레이터</t>
        </is>
      </c>
      <c r="E14" s="28" t="inlineStr">
        <is>
          <t>올영 쇼핑 큐레이터 허브 — 앱 내 발견→구매 직결·세일 매출 견인</t>
        </is>
      </c>
      <c r="F14" s="28" t="inlineStr">
        <is>
          <t>세일즈 경험 크리에이터</t>
        </is>
      </c>
      <c r="G14" s="29" t="inlineStr">
        <is>
          <t>#올영세일 #장바구니</t>
        </is>
      </c>
      <c r="H14" s="30" t="n">
        <v>60</v>
      </c>
      <c r="I14" s="31" t="inlineStr">
        <is>
          <t>건당</t>
        </is>
      </c>
      <c r="J14" s="32" t="n">
        <v>100000</v>
      </c>
      <c r="K14" s="33">
        <f>H14*J14</f>
        <v/>
      </c>
      <c r="L14" s="32" t="n">
        <v>0</v>
      </c>
      <c r="M14" s="33">
        <f>K14+L14</f>
        <v/>
      </c>
    </row>
    <row r="15">
      <c r="A15" s="37" t="inlineStr">
        <is>
          <t>합  계</t>
        </is>
      </c>
      <c r="B15" s="38" t="n"/>
      <c r="C15" s="38" t="n"/>
      <c r="D15" s="38" t="n"/>
      <c r="E15" s="38" t="n"/>
      <c r="F15" s="38" t="n"/>
      <c r="G15" s="38" t="n"/>
      <c r="H15" s="39">
        <f>SUM(H5:H14)</f>
        <v/>
      </c>
      <c r="I15" s="38" t="inlineStr"/>
      <c r="J15" s="38" t="inlineStr"/>
      <c r="K15" s="39">
        <f>SUM(K5:K14)</f>
        <v/>
      </c>
      <c r="L15" s="40">
        <f>SUM(L5:L14)</f>
        <v/>
      </c>
      <c r="M15" s="41">
        <f>SUM(M5:M14)</f>
        <v/>
      </c>
    </row>
    <row r="17">
      <c r="K17" s="42" t="inlineStr">
        <is>
          <t>부가세 (10%)</t>
        </is>
      </c>
      <c r="M17" s="33">
        <f>M15*0.1</f>
        <v/>
      </c>
    </row>
    <row r="18">
      <c r="K18" s="43" t="inlineStr">
        <is>
          <t>총 합계 (VAT 포함)</t>
        </is>
      </c>
      <c r="M18" s="44">
        <f>M15*1.1</f>
        <v/>
      </c>
    </row>
    <row r="20">
      <c r="K20" s="45" t="inlineStr">
        <is>
          <t>2.5억 대비 여유(VAT별도)</t>
        </is>
      </c>
      <c r="M20" s="46">
        <f>250000000-M15</f>
        <v/>
      </c>
    </row>
    <row r="21">
      <c r="K21" s="45" t="inlineStr">
        <is>
          <t>예상 마크업율</t>
        </is>
      </c>
      <c r="M21" s="47">
        <f>L15/M15</f>
        <v/>
      </c>
    </row>
  </sheetData>
  <mergeCells count="3">
    <mergeCell ref="A5:A10"/>
    <mergeCell ref="A11:A14"/>
    <mergeCell ref="A15:G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8.5" customWidth="1" min="3" max="3"/>
    <col width="11" customWidth="1" min="4" max="4"/>
    <col width="9.5" customWidth="1" min="5" max="5"/>
    <col width="8.5" customWidth="1" min="6" max="6"/>
    <col width="11" customWidth="1" min="7" max="7"/>
    <col width="11" customWidth="1" min="8" max="8"/>
    <col width="9" customWidth="1" min="9" max="9"/>
    <col width="15" customWidth="1" min="10" max="10"/>
  </cols>
  <sheetData>
    <row r="1">
      <c r="A1" s="48" t="inlineStr">
        <is>
          <t>월별 실행 타임라인 · 액션플랜  (Moonshot Rocket Launch)</t>
        </is>
      </c>
    </row>
    <row r="2">
      <c r="A2" s="19" t="inlineStr">
        <is>
          <t>Phase 1 (7~9월) 초기 반응·선택증거 확보 → Phase 2 (10~12월) 제품군 확장·재점화 · 단가/금액은 견적상세와 동일</t>
        </is>
      </c>
    </row>
    <row r="4" ht="30" customHeight="1">
      <c r="A4" s="20" t="inlineStr">
        <is>
          <t>항목</t>
        </is>
      </c>
      <c r="B4" s="20" t="inlineStr">
        <is>
          <t>단가</t>
        </is>
      </c>
      <c r="C4" s="20" t="inlineStr">
        <is>
          <t>7월</t>
        </is>
      </c>
      <c r="D4" s="20" t="inlineStr">
        <is>
          <t>8월
세일사전</t>
        </is>
      </c>
      <c r="E4" s="20" t="inlineStr">
        <is>
          <t>9월
세일★</t>
        </is>
      </c>
      <c r="F4" s="20" t="inlineStr">
        <is>
          <t>10월</t>
        </is>
      </c>
      <c r="G4" s="20" t="inlineStr">
        <is>
          <t>11월
블프★</t>
        </is>
      </c>
      <c r="H4" s="20" t="inlineStr">
        <is>
          <t>12월
세일★</t>
        </is>
      </c>
      <c r="I4" s="21" t="inlineStr">
        <is>
          <t>합계</t>
        </is>
      </c>
      <c r="J4" s="23" t="inlineStr">
        <is>
          <t>금액</t>
        </is>
      </c>
    </row>
    <row r="5" ht="19" customHeight="1">
      <c r="A5" s="49" t="inlineStr">
        <is>
          <t>■ 크리에이터 시딩</t>
        </is>
      </c>
      <c r="B5" s="38" t="n"/>
      <c r="C5" s="38" t="n"/>
      <c r="D5" s="38" t="n"/>
      <c r="E5" s="38" t="n"/>
      <c r="F5" s="38" t="n"/>
      <c r="G5" s="38" t="n"/>
      <c r="H5" s="38" t="n"/>
      <c r="I5" s="38" t="n"/>
      <c r="J5" s="38" t="n"/>
    </row>
    <row r="6" ht="19" customHeight="1">
      <c r="A6" s="50" t="inlineStr">
        <is>
          <t>마이크로 (UGC)</t>
        </is>
      </c>
      <c r="B6" s="32" t="n">
        <v>500000</v>
      </c>
      <c r="C6" s="26" t="n">
        <v>30</v>
      </c>
      <c r="D6" s="26" t="n">
        <v>55</v>
      </c>
      <c r="E6" s="26" t="n">
        <v>35</v>
      </c>
      <c r="F6" s="26" t="n">
        <v>30</v>
      </c>
      <c r="G6" s="26" t="n">
        <v>40</v>
      </c>
      <c r="H6" s="26" t="n">
        <v>45</v>
      </c>
      <c r="I6" s="30">
        <f>SUM(C6:H6)</f>
        <v/>
      </c>
      <c r="J6" s="33">
        <f>I6*B6</f>
        <v/>
      </c>
    </row>
    <row r="7" ht="19" customHeight="1">
      <c r="A7" s="50" t="inlineStr">
        <is>
          <t>나노</t>
        </is>
      </c>
      <c r="B7" s="32" t="n">
        <v>250000</v>
      </c>
      <c r="C7" s="26" t="n">
        <v>30</v>
      </c>
      <c r="D7" s="26" t="n">
        <v>55</v>
      </c>
      <c r="E7" s="26" t="n">
        <v>35</v>
      </c>
      <c r="F7" s="26" t="n">
        <v>30</v>
      </c>
      <c r="G7" s="26" t="n">
        <v>40</v>
      </c>
      <c r="H7" s="26" t="n">
        <v>45</v>
      </c>
      <c r="I7" s="30">
        <f>SUM(C7:H7)</f>
        <v/>
      </c>
      <c r="J7" s="33">
        <f>I7*B7</f>
        <v/>
      </c>
    </row>
    <row r="8" ht="19" customHeight="1">
      <c r="A8" s="50" t="inlineStr">
        <is>
          <t>매크로</t>
        </is>
      </c>
      <c r="B8" s="32" t="n">
        <v>800000</v>
      </c>
      <c r="C8" s="26" t="inlineStr">
        <is>
          <t>-</t>
        </is>
      </c>
      <c r="D8" s="26" t="n">
        <v>5</v>
      </c>
      <c r="E8" s="26" t="inlineStr">
        <is>
          <t>-</t>
        </is>
      </c>
      <c r="F8" s="26" t="inlineStr">
        <is>
          <t>-</t>
        </is>
      </c>
      <c r="G8" s="26" t="n">
        <v>5</v>
      </c>
      <c r="H8" s="26" t="n">
        <v>5</v>
      </c>
      <c r="I8" s="30">
        <f>SUM(C8:H8)</f>
        <v/>
      </c>
      <c r="J8" s="33">
        <f>I8*B8</f>
        <v/>
      </c>
    </row>
    <row r="9" ht="19" customHeight="1">
      <c r="A9" s="50" t="inlineStr">
        <is>
          <t>KOL 무가시딩</t>
        </is>
      </c>
      <c r="B9" s="32" t="n">
        <v>100000</v>
      </c>
      <c r="C9" s="26" t="n">
        <v>10</v>
      </c>
      <c r="D9" s="26" t="n">
        <v>10</v>
      </c>
      <c r="E9" s="26" t="n">
        <v>10</v>
      </c>
      <c r="F9" s="26" t="n">
        <v>10</v>
      </c>
      <c r="G9" s="26" t="n">
        <v>10</v>
      </c>
      <c r="H9" s="26" t="n">
        <v>10</v>
      </c>
      <c r="I9" s="30">
        <f>SUM(C9:H9)</f>
        <v/>
      </c>
      <c r="J9" s="33">
        <f>I9*B9</f>
        <v/>
      </c>
    </row>
    <row r="10" ht="19" customHeight="1">
      <c r="A10" s="50" t="inlineStr">
        <is>
          <t>X (트위터) 시딩</t>
        </is>
      </c>
      <c r="B10" s="32" t="n">
        <v>500000</v>
      </c>
      <c r="C10" s="26" t="inlineStr">
        <is>
          <t>-</t>
        </is>
      </c>
      <c r="D10" s="26" t="n">
        <v>5</v>
      </c>
      <c r="E10" s="26" t="inlineStr">
        <is>
          <t>-</t>
        </is>
      </c>
      <c r="F10" s="26" t="inlineStr">
        <is>
          <t>-</t>
        </is>
      </c>
      <c r="G10" s="26" t="n">
        <v>5</v>
      </c>
      <c r="H10" s="26" t="n">
        <v>5</v>
      </c>
      <c r="I10" s="30">
        <f>SUM(C10:H10)</f>
        <v/>
      </c>
      <c r="J10" s="33">
        <f>I10*B10</f>
        <v/>
      </c>
    </row>
    <row r="11" ht="19" customHeight="1">
      <c r="A11" s="50" t="inlineStr">
        <is>
          <t>네이버 블로그</t>
        </is>
      </c>
      <c r="B11" s="32" t="n">
        <v>300000</v>
      </c>
      <c r="C11" s="26" t="inlineStr">
        <is>
          <t>-</t>
        </is>
      </c>
      <c r="D11" s="26" t="n">
        <v>5</v>
      </c>
      <c r="E11" s="26" t="inlineStr">
        <is>
          <t>-</t>
        </is>
      </c>
      <c r="F11" s="26" t="inlineStr">
        <is>
          <t>-</t>
        </is>
      </c>
      <c r="G11" s="26" t="n">
        <v>5</v>
      </c>
      <c r="H11" s="26" t="n">
        <v>5</v>
      </c>
      <c r="I11" s="30">
        <f>SUM(C11:H11)</f>
        <v/>
      </c>
      <c r="J11" s="33">
        <f>I11*B11</f>
        <v/>
      </c>
    </row>
    <row r="12" ht="19" customHeight="1">
      <c r="A12" s="49" t="inlineStr">
        <is>
          <t>■ 콘텐츠 · 바이럴</t>
        </is>
      </c>
      <c r="B12" s="38" t="n"/>
      <c r="C12" s="38" t="n"/>
      <c r="D12" s="38" t="n"/>
      <c r="E12" s="38" t="n"/>
      <c r="F12" s="38" t="n"/>
      <c r="G12" s="38" t="n"/>
      <c r="H12" s="38" t="n"/>
      <c r="I12" s="38" t="n"/>
      <c r="J12" s="38" t="n"/>
    </row>
    <row r="13" ht="19" customHeight="1">
      <c r="A13" s="50" t="inlineStr">
        <is>
          <t>파워페이지</t>
        </is>
      </c>
      <c r="B13" s="32" t="n">
        <v>800000</v>
      </c>
      <c r="C13" s="26" t="inlineStr">
        <is>
          <t>-</t>
        </is>
      </c>
      <c r="D13" s="26" t="n">
        <v>3</v>
      </c>
      <c r="E13" s="26" t="inlineStr">
        <is>
          <t>-</t>
        </is>
      </c>
      <c r="F13" s="26" t="inlineStr">
        <is>
          <t>-</t>
        </is>
      </c>
      <c r="G13" s="26" t="n">
        <v>3</v>
      </c>
      <c r="H13" s="26" t="n">
        <v>3</v>
      </c>
      <c r="I13" s="30">
        <f>SUM(C13:H13)</f>
        <v/>
      </c>
      <c r="J13" s="33">
        <f>I13*B13</f>
        <v/>
      </c>
    </row>
    <row r="14" ht="19" customHeight="1">
      <c r="A14" s="50" t="inlineStr">
        <is>
          <t>커뮤니티 체험단 (마크업20%)</t>
        </is>
      </c>
      <c r="B14" s="32" t="n">
        <v>5000000</v>
      </c>
      <c r="C14" s="26" t="inlineStr">
        <is>
          <t>-</t>
        </is>
      </c>
      <c r="D14" s="26" t="n">
        <v>1</v>
      </c>
      <c r="E14" s="26" t="inlineStr">
        <is>
          <t>-</t>
        </is>
      </c>
      <c r="F14" s="26" t="inlineStr">
        <is>
          <t>-</t>
        </is>
      </c>
      <c r="G14" s="26" t="n">
        <v>1</v>
      </c>
      <c r="H14" s="26" t="n">
        <v>1</v>
      </c>
      <c r="I14" s="30">
        <f>SUM(C14:H14)</f>
        <v/>
      </c>
      <c r="J14" s="33">
        <f>I14*B14*1.2</f>
        <v/>
      </c>
    </row>
    <row r="15" ht="19" customHeight="1">
      <c r="A15" s="50" t="inlineStr">
        <is>
          <t>챌린저스 (마크업20%)</t>
        </is>
      </c>
      <c r="B15" s="32" t="n">
        <v>5000000</v>
      </c>
      <c r="C15" s="26" t="inlineStr">
        <is>
          <t>-</t>
        </is>
      </c>
      <c r="D15" s="26" t="n">
        <v>1</v>
      </c>
      <c r="E15" s="26" t="inlineStr">
        <is>
          <t>-</t>
        </is>
      </c>
      <c r="F15" s="26" t="inlineStr">
        <is>
          <t>-</t>
        </is>
      </c>
      <c r="G15" s="26" t="n">
        <v>1</v>
      </c>
      <c r="H15" s="26" t="inlineStr">
        <is>
          <t>-</t>
        </is>
      </c>
      <c r="I15" s="30">
        <f>SUM(C15:H15)</f>
        <v/>
      </c>
      <c r="J15" s="33">
        <f>I15*B15*1.2</f>
        <v/>
      </c>
    </row>
    <row r="16" ht="19" customHeight="1">
      <c r="A16" s="50" t="inlineStr">
        <is>
          <t>어필리에이트 (누적)</t>
        </is>
      </c>
      <c r="B16" s="32" t="n">
        <v>100000</v>
      </c>
      <c r="C16" s="26" t="n">
        <v>10</v>
      </c>
      <c r="D16" s="26" t="n">
        <v>20</v>
      </c>
      <c r="E16" s="26" t="n">
        <v>30</v>
      </c>
      <c r="F16" s="26" t="n">
        <v>40</v>
      </c>
      <c r="G16" s="26" t="n">
        <v>50</v>
      </c>
      <c r="H16" s="26" t="n">
        <v>60</v>
      </c>
      <c r="I16" s="30" t="inlineStr">
        <is>
          <t>누적 60</t>
        </is>
      </c>
      <c r="J16" s="33">
        <f>60*B16</f>
        <v/>
      </c>
    </row>
    <row r="18">
      <c r="A18" s="49" t="inlineStr">
        <is>
          <t>월 시딩 총건수</t>
        </is>
      </c>
      <c r="B18" s="38" t="inlineStr"/>
      <c r="C18" s="37">
        <f>SUM(C6:C11)</f>
        <v/>
      </c>
      <c r="D18" s="37">
        <f>SUM(D6:D11)</f>
        <v/>
      </c>
      <c r="E18" s="37">
        <f>SUM(E6:E11)</f>
        <v/>
      </c>
      <c r="F18" s="37">
        <f>SUM(F6:F11)</f>
        <v/>
      </c>
      <c r="G18" s="37">
        <f>SUM(G6:G11)</f>
        <v/>
      </c>
      <c r="H18" s="37">
        <f>SUM(H6:H11)</f>
        <v/>
      </c>
      <c r="I18" s="37">
        <f>SUM(C18:H18)</f>
        <v/>
      </c>
      <c r="J18" s="38" t="inlineStr"/>
    </row>
    <row r="19">
      <c r="I19" s="51" t="inlineStr">
        <is>
          <t>총 견적</t>
        </is>
      </c>
      <c r="J19" s="41">
        <f>SUM(J6:J16)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2026-06-18T04:53:12Z</dcterms:created>
  <dcterms:modified xmlns:dcterms="http://purl.org/dc/terms/" xmlns:xsi="http://www.w3.org/2001/XMLSchema-instance" xsi:type="dcterms:W3CDTF">2026-06-18T04:53:12Z</dcterms:modified>
</cp:coreProperties>
</file>