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상세" sheetId="1" state="visible" r:id="rId1"/>
    <sheet xmlns:r="http://schemas.openxmlformats.org/officeDocument/2006/relationships" name="견적제안" sheetId="2" state="visible" r:id="rId2"/>
    <sheet xmlns:r="http://schemas.openxmlformats.org/officeDocument/2006/relationships" name="월별 액션플랜" sheetId="3" state="visible" r:id="rId3"/>
    <sheet xmlns:r="http://schemas.openxmlformats.org/officeDocument/2006/relationships" name="마진 계산(확인 후 삭제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_-;-* #,##0_-;_-* &quot;-&quot;_-;_-@_-"/>
    <numFmt numFmtId="165" formatCode="0.0%"/>
  </numFmts>
  <fonts count="17">
    <font>
      <name val="Calibri"/>
      <family val="2"/>
      <color theme="1"/>
      <sz val="11"/>
      <scheme val="minor"/>
    </font>
    <font>
      <name val="맑은 고딕"/>
      <b val="1"/>
      <color rgb="00082A08"/>
      <sz val="13"/>
    </font>
    <font>
      <name val="맑은 고딕"/>
      <color rgb="00808080"/>
      <sz val="10"/>
    </font>
    <font>
      <name val="맑은 고딕"/>
      <b val="1"/>
      <color rgb="00082A08"/>
      <sz val="10"/>
    </font>
    <font>
      <name val="맑은 고딕"/>
      <color rgb="00262626"/>
      <sz val="10"/>
    </font>
    <font>
      <name val="맑은 고딕"/>
      <b val="1"/>
      <color rgb="00FFFFFF"/>
      <sz val="10"/>
    </font>
    <font>
      <name val="맑은 고딕"/>
      <b val="1"/>
      <color rgb="00262626"/>
      <sz val="10"/>
    </font>
    <font>
      <name val="맑은 고딕"/>
      <color rgb="00808080"/>
      <sz val="9"/>
    </font>
    <font>
      <name val="맑은 고딕"/>
      <color rgb="00262626"/>
      <sz val="9"/>
    </font>
    <font>
      <name val="맑은 고딕"/>
      <color rgb="00082A08"/>
      <sz val="9"/>
    </font>
    <font>
      <name val="맑은 고딕"/>
      <color rgb="00082A08"/>
      <sz val="10"/>
    </font>
    <font>
      <name val="맑은 고딕"/>
      <color rgb="00808080"/>
      <sz val="8"/>
    </font>
    <font>
      <name val="맑은 고딕"/>
      <b val="1"/>
      <color rgb="00082A08"/>
      <sz val="12"/>
    </font>
    <font>
      <name val="맑은 고딕"/>
      <b val="1"/>
      <color rgb="00262626"/>
      <sz val="9"/>
    </font>
    <font>
      <name val="맑은 고딕"/>
      <color rgb="00082A08"/>
      <sz val="8"/>
    </font>
    <font>
      <name val="맑은 고딕"/>
      <i val="1"/>
      <color rgb="00808080"/>
      <sz val="8"/>
    </font>
    <font>
      <name val="맑은 고딕"/>
      <b val="1"/>
      <color rgb="00FFFFFF"/>
      <sz val="15"/>
    </font>
  </fonts>
  <fills count="8">
    <fill>
      <patternFill/>
    </fill>
    <fill>
      <patternFill patternType="gray125"/>
    </fill>
    <fill>
      <patternFill patternType="solid">
        <fgColor rgb="00EAF3DA"/>
      </patternFill>
    </fill>
    <fill>
      <patternFill patternType="solid">
        <fgColor rgb="0062A81B"/>
      </patternFill>
    </fill>
    <fill>
      <patternFill patternType="solid">
        <fgColor rgb="00404040"/>
      </patternFill>
    </fill>
    <fill>
      <patternFill patternType="solid">
        <fgColor rgb="0082DC28"/>
      </patternFill>
    </fill>
    <fill>
      <patternFill patternType="solid">
        <fgColor rgb="00082A08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13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13" customWidth="1" min="3" max="3"/>
    <col width="34" customWidth="1" min="4" max="4"/>
    <col width="18" customWidth="1" min="5" max="5"/>
    <col width="22" customWidth="1" min="6" max="6"/>
    <col width="8" customWidth="1" min="7" max="7"/>
    <col width="13" customWidth="1" min="8" max="8"/>
    <col width="13" customWidth="1" min="9" max="9"/>
    <col width="8" customWidth="1" min="10" max="10"/>
    <col width="12" customWidth="1" min="11" max="11"/>
    <col width="13" customWidth="1" min="12" max="12"/>
    <col width="8" customWidth="1" min="13" max="13"/>
    <col width="14" customWidth="1" min="14" max="14"/>
    <col width="16" customWidth="1" min="15" max="15"/>
  </cols>
  <sheetData>
    <row r="2">
      <c r="B2" s="1" t="inlineStr">
        <is>
          <t>올더베러 26년 하반기 견적 상세 — 월별 캠페인   (단위: 원 / VAT 별도)</t>
        </is>
      </c>
    </row>
    <row r="3">
      <c r="B3" s="2" t="inlineStr">
        <is>
          <t>2026년 3,4Q : 07월 – 12월 / 총 예산 2.5억 원 / 인플루언서 시딩·바이럴 콘텐츠 통합 제안</t>
        </is>
      </c>
    </row>
    <row r="5">
      <c r="B5" s="3" t="inlineStr">
        <is>
          <t>■ BATi — 마이크로 앰배서더 프로그램 (신규)</t>
        </is>
      </c>
    </row>
    <row r="6" ht="58" customHeight="1">
      <c r="B6" s="4" t="inlineStr">
        <is>
          <t>BAT는 다년간의 인플루언서 시딩을 통해 우수한 마이크로 인플루언서 실(實)리드 풀을 보유하고 있으며, '마이크로 MCN 모듈'을 통해 안정적이면서도 고퀄리티의 콘텐츠 발행이 가능합니다.  해당 인원들과 함께 '마이크로 앰배서더' 프로세스를 도입하여 6개월간 각 인원당 월 1회 이상(총 6회)의 협업을 진행합니다.  e.g. 일본 마이크로 인플루언서의 SK-II 다회차 협업 사례</t>
        </is>
      </c>
    </row>
    <row r="7"/>
    <row r="8"/>
    <row r="10">
      <c r="B10" s="3" t="inlineStr">
        <is>
          <t>■ 견적 요약 (6개월 취합 · VAT 별도)</t>
        </is>
      </c>
    </row>
    <row r="11">
      <c r="B11" s="5" t="inlineStr">
        <is>
          <t>할인 원고료 및 할인가 비용</t>
        </is>
      </c>
      <c r="E11" s="5" t="inlineStr">
        <is>
          <t>총 마크업(마진) 비용</t>
        </is>
      </c>
      <c r="H11" s="6" t="inlineStr">
        <is>
          <t>총 원고료 + 마크업 비용</t>
        </is>
      </c>
      <c r="L11" s="7" t="inlineStr">
        <is>
          <t>예상 마크업(%)</t>
        </is>
      </c>
    </row>
    <row r="12">
      <c r="B12" s="8">
        <f>K30</f>
        <v/>
      </c>
      <c r="E12" s="8">
        <f>L30</f>
        <v/>
      </c>
      <c r="H12" s="8">
        <f>N30</f>
        <v/>
      </c>
      <c r="L12" s="9">
        <f>L30/N30</f>
        <v/>
      </c>
    </row>
    <row r="14">
      <c r="B14" s="3" t="inlineStr">
        <is>
          <t>■ 전체 합계 (6개월 취합)</t>
        </is>
      </c>
    </row>
    <row r="15">
      <c r="B15" s="6" t="inlineStr">
        <is>
          <t>항목</t>
        </is>
      </c>
      <c r="C15" s="6" t="inlineStr">
        <is>
          <t>채널</t>
        </is>
      </c>
      <c r="D15" s="6" t="inlineStr">
        <is>
          <t>캠페인 및 활용 목적 / 앵글</t>
        </is>
      </c>
      <c r="E15" s="6" t="inlineStr">
        <is>
          <t>타겟 페르소나</t>
        </is>
      </c>
      <c r="F15" s="6" t="inlineStr">
        <is>
          <t>필수 해시태그</t>
        </is>
      </c>
      <c r="G15" s="6" t="inlineStr">
        <is>
          <t>목표수량</t>
        </is>
      </c>
      <c r="H15" s="5" t="inlineStr">
        <is>
          <t>원고료 및 정가</t>
        </is>
      </c>
      <c r="I15" s="5" t="inlineStr">
        <is>
          <t>할인 원고료 및 할인가</t>
        </is>
      </c>
      <c r="J15" s="6" t="inlineStr">
        <is>
          <t>할인율(%)</t>
        </is>
      </c>
      <c r="K15" s="7" t="inlineStr">
        <is>
          <t>건당 실비</t>
        </is>
      </c>
      <c r="L15" s="7" t="inlineStr">
        <is>
          <t>마크업(건당)</t>
        </is>
      </c>
      <c r="M15" s="6" t="inlineStr">
        <is>
          <t>마크업(%)</t>
        </is>
      </c>
      <c r="N15" s="6" t="inlineStr">
        <is>
          <t>총 견적(합계)</t>
        </is>
      </c>
      <c r="O15" s="6" t="inlineStr">
        <is>
          <t>비고</t>
        </is>
      </c>
      <c r="P15" s="10" t="inlineStr"/>
    </row>
    <row r="16">
      <c r="B16" s="11" t="inlineStr">
        <is>
          <t>나노</t>
        </is>
      </c>
      <c r="C16" s="10" t="inlineStr">
        <is>
          <t>IG</t>
        </is>
      </c>
      <c r="D16" s="12" t="inlineStr">
        <is>
          <t>6개월 합산</t>
        </is>
      </c>
      <c r="E16" s="13" t="inlineStr">
        <is>
          <t>웰니스 입문형 2030</t>
        </is>
      </c>
      <c r="F16" s="14" t="inlineStr">
        <is>
          <t>#올더베러 #오늘도베러 #웰니스입문</t>
        </is>
      </c>
      <c r="G16" s="15" t="n">
        <v>160</v>
      </c>
      <c r="H16" s="16" t="n">
        <v>275000</v>
      </c>
      <c r="I16" s="16" t="n">
        <v>225000</v>
      </c>
      <c r="J16" s="17">
        <f>1-(I16/H16)</f>
        <v/>
      </c>
      <c r="K16" s="18" t="n">
        <v>150000</v>
      </c>
      <c r="L16" s="19">
        <f>I16-K16</f>
        <v/>
      </c>
      <c r="M16" s="17">
        <f>IF(I16=0,0,L16/I16)</f>
        <v/>
      </c>
      <c r="N16" s="20">
        <f>G16*I16</f>
        <v/>
      </c>
      <c r="O16" s="21" t="inlineStr"/>
    </row>
    <row r="17">
      <c r="B17" s="11" t="inlineStr">
        <is>
          <t>마이크로 (UGC)</t>
        </is>
      </c>
      <c r="C17" s="10" t="inlineStr">
        <is>
          <t>IG·TT</t>
        </is>
      </c>
      <c r="D17" s="12" t="inlineStr">
        <is>
          <t>6개월 합산</t>
        </is>
      </c>
      <c r="E17" s="13" t="inlineStr">
        <is>
          <t>직장인 루틴형 2535</t>
        </is>
      </c>
      <c r="F17" s="14" t="inlineStr">
        <is>
          <t>#올더베러 #오늘도베러</t>
        </is>
      </c>
      <c r="G17" s="15" t="n">
        <v>180</v>
      </c>
      <c r="H17" s="16" t="n">
        <v>450000</v>
      </c>
      <c r="I17" s="16" t="n">
        <v>350000</v>
      </c>
      <c r="J17" s="17">
        <f>1-(I17/H17)</f>
        <v/>
      </c>
      <c r="K17" s="18" t="n">
        <v>300000</v>
      </c>
      <c r="L17" s="19">
        <f>I17-K17</f>
        <v/>
      </c>
      <c r="M17" s="17">
        <f>IF(I17=0,0,L17/I17)</f>
        <v/>
      </c>
      <c r="N17" s="20">
        <f>G17*I17</f>
        <v/>
      </c>
      <c r="O17" s="21" t="inlineStr">
        <is>
          <t>기대행 수수료 25%에서 5%p 추가 할인</t>
        </is>
      </c>
    </row>
    <row r="18">
      <c r="B18" s="11" t="inlineStr">
        <is>
          <t>매크로</t>
        </is>
      </c>
      <c r="C18" s="10" t="inlineStr">
        <is>
          <t>IG·TT·YT</t>
        </is>
      </c>
      <c r="D18" s="12" t="inlineStr">
        <is>
          <t>6개월 합산</t>
        </is>
      </c>
      <c r="E18" s="13" t="inlineStr">
        <is>
          <t>헬시플레저 광역 4050+</t>
        </is>
      </c>
      <c r="F18" s="14" t="inlineStr">
        <is>
          <t>#올더베러 #올영세일</t>
        </is>
      </c>
      <c r="G18" s="15" t="n">
        <v>12</v>
      </c>
      <c r="H18" s="16" t="n">
        <v>1000000</v>
      </c>
      <c r="I18" s="16" t="n">
        <v>800000</v>
      </c>
      <c r="J18" s="17">
        <f>1-(I18/H18)</f>
        <v/>
      </c>
      <c r="K18" s="18" t="n">
        <v>500000</v>
      </c>
      <c r="L18" s="19">
        <f>I18-K18</f>
        <v/>
      </c>
      <c r="M18" s="17">
        <f>IF(I18=0,0,L18/I18)</f>
        <v/>
      </c>
      <c r="N18" s="20">
        <f>G18*I18</f>
        <v/>
      </c>
      <c r="O18" s="21" t="inlineStr"/>
    </row>
    <row r="19">
      <c r="B19" s="11" t="inlineStr">
        <is>
          <t>KOL 무가시딩</t>
        </is>
      </c>
      <c r="C19" s="10" t="inlineStr">
        <is>
          <t>IG·YT</t>
        </is>
      </c>
      <c r="D19" s="12" t="inlineStr">
        <is>
          <t>6개월 합산</t>
        </is>
      </c>
      <c r="E19" s="13" t="inlineStr">
        <is>
          <t>30대 웰니스 KOL</t>
        </is>
      </c>
      <c r="F19" s="14" t="inlineStr">
        <is>
          <t>#올더베러 #오늘도베러</t>
        </is>
      </c>
      <c r="G19" s="15" t="n">
        <v>30</v>
      </c>
      <c r="H19" s="16" t="n">
        <v>50000</v>
      </c>
      <c r="I19" s="16" t="n">
        <v>50000</v>
      </c>
      <c r="J19" s="17">
        <f>1-(I19/H19)</f>
        <v/>
      </c>
      <c r="K19" s="18" t="n">
        <v>0</v>
      </c>
      <c r="L19" s="19">
        <f>I19-K19</f>
        <v/>
      </c>
      <c r="M19" s="17">
        <f>IF(I19=0,0,L19/I19)</f>
        <v/>
      </c>
      <c r="N19" s="20">
        <f>G19*I19</f>
        <v/>
      </c>
      <c r="O19" s="21" t="inlineStr">
        <is>
          <t>무가 시딩</t>
        </is>
      </c>
    </row>
    <row r="20">
      <c r="B20" s="11" t="inlineStr">
        <is>
          <t>X (트위터) 시딩</t>
        </is>
      </c>
      <c r="C20" s="10" t="inlineStr">
        <is>
          <t>X</t>
        </is>
      </c>
      <c r="D20" s="12" t="inlineStr">
        <is>
          <t>6개월 합산</t>
        </is>
      </c>
      <c r="E20" s="13" t="inlineStr">
        <is>
          <t>리뷰·밈 2030</t>
        </is>
      </c>
      <c r="F20" s="14" t="inlineStr">
        <is>
          <t>#올더베러 #올영템</t>
        </is>
      </c>
      <c r="G20" s="15" t="n">
        <v>25</v>
      </c>
      <c r="H20" s="16" t="n">
        <v>500000</v>
      </c>
      <c r="I20" s="16" t="n">
        <v>500000</v>
      </c>
      <c r="J20" s="17">
        <f>1-(I20/H20)</f>
        <v/>
      </c>
      <c r="K20" s="18" t="n">
        <v>350000</v>
      </c>
      <c r="L20" s="19">
        <f>I20-K20</f>
        <v/>
      </c>
      <c r="M20" s="17">
        <f>IF(I20=0,0,L20/I20)</f>
        <v/>
      </c>
      <c r="N20" s="20">
        <f>G20*I20</f>
        <v/>
      </c>
      <c r="O20" s="21" t="inlineStr">
        <is>
          <t>할인 없음</t>
        </is>
      </c>
    </row>
    <row r="21">
      <c r="B21" s="11" t="inlineStr">
        <is>
          <t>네이버 블로그</t>
        </is>
      </c>
      <c r="C21" s="10" t="inlineStr">
        <is>
          <t>Blog</t>
        </is>
      </c>
      <c r="D21" s="12" t="inlineStr">
        <is>
          <t>6개월 합산</t>
        </is>
      </c>
      <c r="E21" s="13" t="inlineStr">
        <is>
          <t>정보탐색 검색자</t>
        </is>
      </c>
      <c r="F21" s="14" t="inlineStr">
        <is>
          <t>#올더베러 #웰니스구미추천</t>
        </is>
      </c>
      <c r="G21" s="15" t="n">
        <v>15</v>
      </c>
      <c r="H21" s="16" t="n">
        <v>300000</v>
      </c>
      <c r="I21" s="16" t="n">
        <v>200000</v>
      </c>
      <c r="J21" s="17">
        <f>1-(I21/H21)</f>
        <v/>
      </c>
      <c r="K21" s="18" t="n">
        <v>200000</v>
      </c>
      <c r="L21" s="19">
        <f>I21-K21</f>
        <v/>
      </c>
      <c r="M21" s="17">
        <f>IF(I21=0,0,L21/I21)</f>
        <v/>
      </c>
      <c r="N21" s="20">
        <f>G21*I21</f>
        <v/>
      </c>
      <c r="O21" s="21" t="inlineStr"/>
    </row>
    <row r="22">
      <c r="B22" s="11" t="inlineStr">
        <is>
          <t>EGC 콘텐츠</t>
        </is>
      </c>
      <c r="C22" s="10" t="inlineStr">
        <is>
          <t>IG·TT</t>
        </is>
      </c>
      <c r="D22" s="12" t="inlineStr">
        <is>
          <t>6개월 합산</t>
        </is>
      </c>
      <c r="E22" s="13" t="inlineStr">
        <is>
          <t>정보 신뢰 구매고려층</t>
        </is>
      </c>
      <c r="F22" s="14" t="inlineStr">
        <is>
          <t>#올더베러 #직원피셜</t>
        </is>
      </c>
      <c r="G22" s="15" t="n">
        <v>120</v>
      </c>
      <c r="H22" s="16" t="n">
        <v>1000000</v>
      </c>
      <c r="I22" s="16" t="n">
        <v>450000</v>
      </c>
      <c r="J22" s="17">
        <f>1-(I22/H22)</f>
        <v/>
      </c>
      <c r="K22" s="18" t="n">
        <v>0</v>
      </c>
      <c r="L22" s="19">
        <f>I22-K22</f>
        <v/>
      </c>
      <c r="M22" s="17">
        <f>IF(I22=0,0,L22/I22)</f>
        <v/>
      </c>
      <c r="N22" s="20">
        <f>G22*I22</f>
        <v/>
      </c>
      <c r="O22" s="21" t="inlineStr"/>
    </row>
    <row r="23">
      <c r="B23" s="11" t="inlineStr">
        <is>
          <t>Half EGC 콘텐츠</t>
        </is>
      </c>
      <c r="C23" s="10" t="inlineStr">
        <is>
          <t>IG·TT</t>
        </is>
      </c>
      <c r="D23" s="12" t="inlineStr">
        <is>
          <t>6개월 합산</t>
        </is>
      </c>
      <c r="E23" s="13" t="inlineStr">
        <is>
          <t>건기식 관심 직장인</t>
        </is>
      </c>
      <c r="F23" s="14" t="inlineStr">
        <is>
          <t>#올더베러 #웰니스루틴</t>
        </is>
      </c>
      <c r="G23" s="15" t="n">
        <v>24</v>
      </c>
      <c r="H23" s="16" t="n">
        <v>1250000</v>
      </c>
      <c r="I23" s="16" t="n">
        <v>650000</v>
      </c>
      <c r="J23" s="17">
        <f>1-(I23/H23)</f>
        <v/>
      </c>
      <c r="K23" s="18" t="n">
        <v>250000</v>
      </c>
      <c r="L23" s="19">
        <f>I23-K23</f>
        <v/>
      </c>
      <c r="M23" s="17">
        <f>IF(I23=0,0,L23/I23)</f>
        <v/>
      </c>
      <c r="N23" s="20">
        <f>G23*I23</f>
        <v/>
      </c>
      <c r="O23" s="21" t="inlineStr"/>
    </row>
    <row r="24">
      <c r="B24" s="11" t="inlineStr">
        <is>
          <t>콘텐츠 제작 (KV·영상·이미지)</t>
        </is>
      </c>
      <c r="C24" s="10" t="inlineStr">
        <is>
          <t>제작</t>
        </is>
      </c>
      <c r="D24" s="12" t="inlineStr">
        <is>
          <t>6개월 합산</t>
        </is>
      </c>
      <c r="E24" s="13" t="inlineStr">
        <is>
          <t>—</t>
        </is>
      </c>
      <c r="F24" s="14" t="inlineStr">
        <is>
          <t>—</t>
        </is>
      </c>
      <c r="G24" s="15" t="n">
        <v>6</v>
      </c>
      <c r="H24" s="16" t="n">
        <v>1085000</v>
      </c>
      <c r="I24" s="16" t="n">
        <v>1085000</v>
      </c>
      <c r="J24" s="17">
        <f>1-(I24/H24)</f>
        <v/>
      </c>
      <c r="K24" s="18" t="n">
        <v>0</v>
      </c>
      <c r="L24" s="19">
        <f>I24-K24</f>
        <v/>
      </c>
      <c r="M24" s="17">
        <f>IF(I24=0,0,L24/I24)</f>
        <v/>
      </c>
      <c r="N24" s="20">
        <f>G24*I24</f>
        <v/>
      </c>
      <c r="O24" s="21" t="inlineStr">
        <is>
          <t>KV·디자인·영상·이미지 소재</t>
        </is>
      </c>
    </row>
    <row r="25">
      <c r="B25" s="11" t="inlineStr">
        <is>
          <t>파워페이지</t>
        </is>
      </c>
      <c r="C25" s="10" t="inlineStr">
        <is>
          <t>SNS</t>
        </is>
      </c>
      <c r="D25" s="12" t="inlineStr">
        <is>
          <t>6개월 합산</t>
        </is>
      </c>
      <c r="E25" s="13" t="inlineStr">
        <is>
          <t>구매 고의도 검색자</t>
        </is>
      </c>
      <c r="F25" s="14" t="inlineStr">
        <is>
          <t>#올영추천템 #웰니스추천</t>
        </is>
      </c>
      <c r="G25" s="15" t="n">
        <v>6</v>
      </c>
      <c r="H25" s="16" t="n">
        <v>800000</v>
      </c>
      <c r="I25" s="16" t="n">
        <v>700000</v>
      </c>
      <c r="J25" s="17">
        <f>1-(I25/H25)</f>
        <v/>
      </c>
      <c r="K25" s="18" t="n">
        <v>600000</v>
      </c>
      <c r="L25" s="19">
        <f>I25-K25</f>
        <v/>
      </c>
      <c r="M25" s="17">
        <f>IF(I25=0,0,L25/I25)</f>
        <v/>
      </c>
      <c r="N25" s="20">
        <f>G25*I25</f>
        <v/>
      </c>
      <c r="O25" s="21" t="inlineStr"/>
    </row>
    <row r="26">
      <c r="B26" s="11" t="inlineStr">
        <is>
          <t>커뮤니티 체험단</t>
        </is>
      </c>
      <c r="C26" s="10" t="inlineStr">
        <is>
          <t>뷰티앱·커뮤니티</t>
        </is>
      </c>
      <c r="D26" s="12" t="inlineStr">
        <is>
          <t>6개월 합산</t>
        </is>
      </c>
      <c r="E26" s="13" t="inlineStr">
        <is>
          <t>카테고리 관여 高 사용자</t>
        </is>
      </c>
      <c r="F26" s="14" t="inlineStr">
        <is>
          <t>#올리브영 #웰니스어워드</t>
        </is>
      </c>
      <c r="G26" s="15" t="n">
        <v>2</v>
      </c>
      <c r="H26" s="16" t="n">
        <v>5000000</v>
      </c>
      <c r="I26" s="16" t="n">
        <v>4000000</v>
      </c>
      <c r="J26" s="17">
        <f>1-(I26/H26)</f>
        <v/>
      </c>
      <c r="K26" s="18" t="n">
        <v>4000000</v>
      </c>
      <c r="L26" s="19">
        <f>I26-K26</f>
        <v/>
      </c>
      <c r="M26" s="17">
        <f>IF(I26=0,0,L26/I26)</f>
        <v/>
      </c>
      <c r="N26" s="20">
        <f>G26*I26</f>
        <v/>
      </c>
      <c r="O26" s="21" t="inlineStr"/>
    </row>
    <row r="27">
      <c r="B27" s="11" t="inlineStr">
        <is>
          <t>챌린저스</t>
        </is>
      </c>
      <c r="C27" s="10" t="inlineStr">
        <is>
          <t>챌린저스 앱</t>
        </is>
      </c>
      <c r="D27" s="12" t="inlineStr">
        <is>
          <t>6개월 합산</t>
        </is>
      </c>
      <c r="E27" s="13" t="inlineStr">
        <is>
          <t>올영 액티브 유저</t>
        </is>
      </c>
      <c r="F27" s="14" t="inlineStr">
        <is>
          <t>#올영1위 #올더베러챌린지</t>
        </is>
      </c>
      <c r="G27" s="15" t="n">
        <v>2</v>
      </c>
      <c r="H27" s="16" t="n">
        <v>5000000</v>
      </c>
      <c r="I27" s="16" t="n">
        <v>4500000</v>
      </c>
      <c r="J27" s="17">
        <f>1-(I27/H27)</f>
        <v/>
      </c>
      <c r="K27" s="18" t="n">
        <v>3500000</v>
      </c>
      <c r="L27" s="19">
        <f>I27-K27</f>
        <v/>
      </c>
      <c r="M27" s="17">
        <f>IF(I27=0,0,L27/I27)</f>
        <v/>
      </c>
      <c r="N27" s="20">
        <f>G27*I27</f>
        <v/>
      </c>
      <c r="O27" s="21" t="inlineStr"/>
    </row>
    <row r="28">
      <c r="B28" s="11" t="inlineStr">
        <is>
          <t>BATi 마이크로 앰배서더</t>
        </is>
      </c>
      <c r="C28" s="10" t="inlineStr">
        <is>
          <t>IG·TT</t>
        </is>
      </c>
      <c r="D28" s="12" t="inlineStr">
        <is>
          <t>6개월 합산</t>
        </is>
      </c>
      <c r="E28" s="13" t="inlineStr">
        <is>
          <t>우수 마이크로 앰배서더</t>
        </is>
      </c>
      <c r="F28" s="14" t="inlineStr">
        <is>
          <t>#올더베러 #오늘도베러</t>
        </is>
      </c>
      <c r="G28" s="15" t="n">
        <v>60</v>
      </c>
      <c r="H28" s="16" t="n">
        <v>500000</v>
      </c>
      <c r="I28" s="16" t="n">
        <v>350000</v>
      </c>
      <c r="J28" s="17">
        <f>1-(I28/H28)</f>
        <v/>
      </c>
      <c r="K28" s="18" t="n">
        <v>300000</v>
      </c>
      <c r="L28" s="19">
        <f>I28-K28</f>
        <v/>
      </c>
      <c r="M28" s="17">
        <f>IF(I28=0,0,L28/I28)</f>
        <v/>
      </c>
      <c r="N28" s="20">
        <f>G28*I28</f>
        <v/>
      </c>
      <c r="O28" s="21" t="inlineStr">
        <is>
          <t>10명 × 6회(월1회) = 60건</t>
        </is>
      </c>
    </row>
    <row r="29">
      <c r="B29" s="11" t="inlineStr">
        <is>
          <t>스프레이ai 솔루션</t>
        </is>
      </c>
      <c r="C29" s="10" t="inlineStr">
        <is>
          <t>솔루션</t>
        </is>
      </c>
      <c r="D29" s="12" t="inlineStr">
        <is>
          <t>6개월 합산</t>
        </is>
      </c>
      <c r="E29" s="13" t="inlineStr">
        <is>
          <t>—</t>
        </is>
      </c>
      <c r="F29" s="14" t="inlineStr">
        <is>
          <t>—</t>
        </is>
      </c>
      <c r="G29" s="15" t="n">
        <v>6</v>
      </c>
      <c r="H29" s="16" t="n">
        <v>4200000</v>
      </c>
      <c r="I29" s="16" t="n">
        <v>1015000</v>
      </c>
      <c r="J29" s="17">
        <f>1-(I29/H29)</f>
        <v/>
      </c>
      <c r="K29" s="18" t="n">
        <v>0</v>
      </c>
      <c r="L29" s="19">
        <f>I29-K29</f>
        <v/>
      </c>
      <c r="M29" s="17">
        <f>IF(I29=0,0,L29/I29)</f>
        <v/>
      </c>
      <c r="N29" s="20">
        <f>G29*I29</f>
        <v/>
      </c>
      <c r="O29" s="21" t="inlineStr">
        <is>
          <t>월 1식 · 6개월</t>
        </is>
      </c>
    </row>
    <row r="30">
      <c r="B30" s="22" t="inlineStr">
        <is>
          <t>총 합계 (할인가, VAT 별도)</t>
        </is>
      </c>
      <c r="G30" s="23">
        <f>SUM(G16:G29)</f>
        <v/>
      </c>
      <c r="H30" s="24">
        <f>SUMPRODUCT(G16:G29,H16:H29)</f>
        <v/>
      </c>
      <c r="I30" s="24">
        <f>N30</f>
        <v/>
      </c>
      <c r="J30" s="25">
        <f>1-(N30/H30)</f>
        <v/>
      </c>
      <c r="K30" s="24">
        <f>SUMPRODUCT(G16:G29,K16:K29)</f>
        <v/>
      </c>
      <c r="L30" s="24">
        <f>N30-K30*1</f>
        <v/>
      </c>
      <c r="M30" s="25">
        <f>L30/N30</f>
        <v/>
      </c>
      <c r="N30" s="26">
        <f>SUM(N16:N29)</f>
        <v/>
      </c>
      <c r="O30" s="27" t="inlineStr"/>
    </row>
    <row r="31">
      <c r="M31" s="28" t="inlineStr">
        <is>
          <t>부가세(10%)</t>
        </is>
      </c>
      <c r="N31" s="20">
        <f>N30*0.1</f>
        <v/>
      </c>
    </row>
    <row r="32">
      <c r="M32" s="22" t="inlineStr">
        <is>
          <t>합계(VAT 포함)</t>
        </is>
      </c>
      <c r="N32" s="24">
        <f>N30*1.1</f>
        <v/>
      </c>
    </row>
    <row r="34">
      <c r="B34" s="3" t="inlineStr">
        <is>
          <t>■ 월별 상세 (7월 ~ 12월)</t>
        </is>
      </c>
    </row>
    <row r="35">
      <c r="B35" s="6" t="inlineStr">
        <is>
          <t>항목</t>
        </is>
      </c>
      <c r="C35" s="6" t="inlineStr">
        <is>
          <t>채널</t>
        </is>
      </c>
      <c r="D35" s="6" t="inlineStr">
        <is>
          <t>캠페인 및 활용 목적 / 앵글</t>
        </is>
      </c>
      <c r="E35" s="6" t="inlineStr">
        <is>
          <t>타겟 페르소나</t>
        </is>
      </c>
      <c r="F35" s="6" t="inlineStr">
        <is>
          <t>필수 해시태그</t>
        </is>
      </c>
      <c r="G35" s="6" t="inlineStr">
        <is>
          <t>목표수량</t>
        </is>
      </c>
      <c r="H35" s="6" t="inlineStr">
        <is>
          <t>단가(할인가)</t>
        </is>
      </c>
      <c r="I35" s="6" t="inlineStr">
        <is>
          <t>금액</t>
        </is>
      </c>
    </row>
    <row r="36">
      <c r="B36" s="29" t="inlineStr">
        <is>
          <t xml:space="preserve">  ▣ 7월 · 착수 / 첫 점화 (Phase 1)   —   위닝 메시지 발굴 + 일반식품 시딩 도화선 점화 · 타겟: 웰니스 입문형</t>
        </is>
      </c>
    </row>
    <row r="37">
      <c r="B37" s="30" t="inlineStr">
        <is>
          <t>마이크로 (UGC)</t>
        </is>
      </c>
      <c r="C37" s="31" t="inlineStr">
        <is>
          <t>IG·TT</t>
        </is>
      </c>
      <c r="D37" s="13" t="inlineStr">
        <is>
          <t>멜라나잇(자기 전)·올리브오일(아침 공복) 위닝 메시지 LMF 테스트</t>
        </is>
      </c>
      <c r="E37" s="13" t="inlineStr">
        <is>
          <t>직장인 루틴형 2535</t>
        </is>
      </c>
      <c r="F37" s="32" t="inlineStr">
        <is>
          <t>#올더베러 #오늘도베러</t>
        </is>
      </c>
      <c r="G37" s="15" t="n">
        <v>22</v>
      </c>
      <c r="H37" s="16" t="n">
        <v>350000</v>
      </c>
      <c r="I37" s="20">
        <f>G37*H37</f>
        <v/>
      </c>
      <c r="J37" s="10" t="inlineStr"/>
      <c r="K37" s="10" t="inlineStr"/>
      <c r="L37" s="10" t="inlineStr"/>
      <c r="M37" s="10" t="inlineStr"/>
      <c r="N37" s="10" t="inlineStr"/>
      <c r="O37" s="10" t="inlineStr"/>
    </row>
    <row r="38">
      <c r="B38" s="30" t="inlineStr">
        <is>
          <t>나노</t>
        </is>
      </c>
      <c r="C38" s="31" t="inlineStr">
        <is>
          <t>IG</t>
        </is>
      </c>
      <c r="D38" s="13" t="inlineStr">
        <is>
          <t>진성 후기 볼륨 착수 · #오늘도베러 해시태그 자산화</t>
        </is>
      </c>
      <c r="E38" s="13" t="inlineStr">
        <is>
          <t>웰니스 입문형 2030</t>
        </is>
      </c>
      <c r="F38" s="32" t="inlineStr">
        <is>
          <t>#올더베러 #오늘도베러 #웰니스입문</t>
        </is>
      </c>
      <c r="G38" s="15" t="n">
        <v>19</v>
      </c>
      <c r="H38" s="16" t="n">
        <v>225000</v>
      </c>
      <c r="I38" s="20">
        <f>G38*H38</f>
        <v/>
      </c>
      <c r="J38" s="10" t="inlineStr"/>
      <c r="K38" s="10" t="inlineStr"/>
      <c r="L38" s="10" t="inlineStr"/>
      <c r="M38" s="10" t="inlineStr"/>
      <c r="N38" s="10" t="inlineStr"/>
      <c r="O38" s="10" t="inlineStr"/>
    </row>
    <row r="39">
      <c r="B39" s="30" t="inlineStr">
        <is>
          <t>KOL 무가시딩</t>
        </is>
      </c>
      <c r="C39" s="31" t="inlineStr">
        <is>
          <t>IG·YT</t>
        </is>
      </c>
      <c r="D39" s="13" t="inlineStr">
        <is>
          <t>웰니스 코어 KOL 관계 형성·자발 콘텐츠</t>
        </is>
      </c>
      <c r="E39" s="13" t="inlineStr">
        <is>
          <t>30대 웰니스 KOL</t>
        </is>
      </c>
      <c r="F39" s="32" t="inlineStr">
        <is>
          <t>#올더베러 #오늘도베러</t>
        </is>
      </c>
      <c r="G39" s="15" t="n">
        <v>5</v>
      </c>
      <c r="H39" s="16" t="n">
        <v>50000</v>
      </c>
      <c r="I39" s="20">
        <f>G39*H39</f>
        <v/>
      </c>
      <c r="J39" s="10" t="inlineStr"/>
      <c r="K39" s="10" t="inlineStr"/>
      <c r="L39" s="10" t="inlineStr"/>
      <c r="M39" s="10" t="inlineStr"/>
      <c r="N39" s="10" t="inlineStr"/>
      <c r="O39" s="10" t="inlineStr"/>
    </row>
    <row r="40">
      <c r="B40" s="30" t="inlineStr">
        <is>
          <t>EGC 콘텐츠</t>
        </is>
      </c>
      <c r="C40" s="31" t="inlineStr">
        <is>
          <t>IG·TT</t>
        </is>
      </c>
      <c r="D40" s="13" t="inlineStr">
        <is>
          <t>직원 피셜 — 올리브오일 '이 스펙 이 가격' 신뢰형</t>
        </is>
      </c>
      <c r="E40" s="13" t="inlineStr">
        <is>
          <t>정보 신뢰 구매고려층</t>
        </is>
      </c>
      <c r="F40" s="32" t="inlineStr">
        <is>
          <t>#올더베러 #직원피셜</t>
        </is>
      </c>
      <c r="G40" s="15" t="n">
        <v>20</v>
      </c>
      <c r="H40" s="16" t="n">
        <v>450000</v>
      </c>
      <c r="I40" s="20">
        <f>G40*H40</f>
        <v/>
      </c>
      <c r="J40" s="10" t="inlineStr"/>
      <c r="K40" s="10" t="inlineStr"/>
      <c r="L40" s="10" t="inlineStr"/>
      <c r="M40" s="10" t="inlineStr"/>
      <c r="N40" s="10" t="inlineStr"/>
      <c r="O40" s="10" t="inlineStr"/>
    </row>
    <row r="41">
      <c r="B41" s="30" t="inlineStr">
        <is>
          <t>Half EGC 콘텐츠</t>
        </is>
      </c>
      <c r="C41" s="31" t="inlineStr">
        <is>
          <t>IG·TT</t>
        </is>
      </c>
      <c r="D41" s="13" t="inlineStr">
        <is>
          <t>건기식 정보+공감 (루테인 모니터 앞 직장인)</t>
        </is>
      </c>
      <c r="E41" s="13" t="inlineStr">
        <is>
          <t>건기식 관심 직장인</t>
        </is>
      </c>
      <c r="F41" s="32" t="inlineStr">
        <is>
          <t>#올더베러 #웰니스루틴</t>
        </is>
      </c>
      <c r="G41" s="15" t="n">
        <v>4</v>
      </c>
      <c r="H41" s="16" t="n">
        <v>650000</v>
      </c>
      <c r="I41" s="20">
        <f>G41*H41</f>
        <v/>
      </c>
      <c r="J41" s="10" t="inlineStr"/>
      <c r="K41" s="10" t="inlineStr"/>
      <c r="L41" s="10" t="inlineStr"/>
      <c r="M41" s="10" t="inlineStr"/>
      <c r="N41" s="10" t="inlineStr"/>
      <c r="O41" s="10" t="inlineStr"/>
    </row>
    <row r="42">
      <c r="B42" s="30" t="inlineStr">
        <is>
          <t>BATi 마이크로 앰배서더</t>
        </is>
      </c>
      <c r="C42" s="31" t="inlineStr">
        <is>
          <t>IG·TT</t>
        </is>
      </c>
      <c r="D42" s="13" t="inlineStr">
        <is>
          <t>앰배서더 풀 온보딩·1차 협업 콘텐츠 발행</t>
        </is>
      </c>
      <c r="E42" s="13" t="inlineStr">
        <is>
          <t>우수 마이크로 앰배서더</t>
        </is>
      </c>
      <c r="F42" s="32" t="inlineStr">
        <is>
          <t>#올더베러 #오늘도베러</t>
        </is>
      </c>
      <c r="G42" s="15" t="n">
        <v>10</v>
      </c>
      <c r="H42" s="16" t="n">
        <v>350000</v>
      </c>
      <c r="I42" s="20">
        <f>G42*H42</f>
        <v/>
      </c>
      <c r="J42" s="10" t="inlineStr"/>
      <c r="K42" s="10" t="inlineStr"/>
      <c r="L42" s="10" t="inlineStr"/>
      <c r="M42" s="10" t="inlineStr"/>
      <c r="N42" s="10" t="inlineStr"/>
      <c r="O42" s="10" t="inlineStr"/>
    </row>
    <row r="43">
      <c r="B43" s="30" t="inlineStr">
        <is>
          <t>콘텐츠 제작 (KV·영상·이미지)</t>
        </is>
      </c>
      <c r="C43" s="31" t="inlineStr">
        <is>
          <t>제작</t>
        </is>
      </c>
      <c r="D43" s="13" t="inlineStr">
        <is>
          <t>브랜드 KV·기본 소재 제작</t>
        </is>
      </c>
      <c r="E43" s="13" t="inlineStr">
        <is>
          <t>—</t>
        </is>
      </c>
      <c r="F43" s="32" t="inlineStr">
        <is>
          <t>—</t>
        </is>
      </c>
      <c r="G43" s="15" t="n">
        <v>1</v>
      </c>
      <c r="H43" s="16" t="n">
        <v>1085000</v>
      </c>
      <c r="I43" s="20">
        <f>G43*H43</f>
        <v/>
      </c>
      <c r="J43" s="10" t="inlineStr"/>
      <c r="K43" s="10" t="inlineStr"/>
      <c r="L43" s="10" t="inlineStr"/>
      <c r="M43" s="10" t="inlineStr"/>
      <c r="N43" s="10" t="inlineStr"/>
      <c r="O43" s="10" t="inlineStr"/>
    </row>
    <row r="44">
      <c r="B44" s="30" t="inlineStr">
        <is>
          <t>스프레이ai 솔루션</t>
        </is>
      </c>
      <c r="C44" s="31" t="inlineStr">
        <is>
          <t>솔루션</t>
        </is>
      </c>
      <c r="D44" s="13" t="inlineStr">
        <is>
          <t>AI 스프레이 솔루션 운용(콘텐츠 자동 생성·배포 보조)</t>
        </is>
      </c>
      <c r="E44" s="13" t="inlineStr">
        <is>
          <t>—</t>
        </is>
      </c>
      <c r="F44" s="32" t="inlineStr">
        <is>
          <t>—</t>
        </is>
      </c>
      <c r="G44" s="15" t="n">
        <v>1</v>
      </c>
      <c r="H44" s="16" t="n">
        <v>1015000</v>
      </c>
      <c r="I44" s="20">
        <f>G44*H44</f>
        <v/>
      </c>
      <c r="J44" s="10" t="inlineStr"/>
      <c r="K44" s="10" t="inlineStr"/>
      <c r="L44" s="10" t="inlineStr"/>
      <c r="M44" s="10" t="inlineStr"/>
      <c r="N44" s="10" t="inlineStr"/>
      <c r="O44" s="10" t="inlineStr"/>
    </row>
    <row r="45">
      <c r="B45" s="33" t="inlineStr">
        <is>
          <t>7월 소계</t>
        </is>
      </c>
      <c r="G45" s="34">
        <f>SUM(G37:G44)</f>
        <v/>
      </c>
      <c r="H45" s="35" t="inlineStr"/>
      <c r="I45" s="36">
        <f>SUM(I37:I44)</f>
        <v/>
      </c>
      <c r="J45" s="35" t="inlineStr"/>
      <c r="K45" s="35" t="inlineStr"/>
      <c r="L45" s="35" t="inlineStr"/>
      <c r="M45" s="35" t="inlineStr"/>
      <c r="N45" s="35" t="inlineStr"/>
      <c r="O45" s="35" t="inlineStr"/>
    </row>
    <row r="47">
      <c r="B47" s="6" t="inlineStr">
        <is>
          <t>항목</t>
        </is>
      </c>
      <c r="C47" s="6" t="inlineStr">
        <is>
          <t>채널</t>
        </is>
      </c>
      <c r="D47" s="6" t="inlineStr">
        <is>
          <t>캠페인 및 활용 목적 / 앵글</t>
        </is>
      </c>
      <c r="E47" s="6" t="inlineStr">
        <is>
          <t>타겟 페르소나</t>
        </is>
      </c>
      <c r="F47" s="6" t="inlineStr">
        <is>
          <t>필수 해시태그</t>
        </is>
      </c>
      <c r="G47" s="6" t="inlineStr">
        <is>
          <t>목표수량</t>
        </is>
      </c>
      <c r="H47" s="6" t="inlineStr">
        <is>
          <t>단가(할인가)</t>
        </is>
      </c>
      <c r="I47" s="6" t="inlineStr">
        <is>
          <t>금액</t>
        </is>
      </c>
    </row>
    <row r="48">
      <c r="B48" s="29" t="inlineStr">
        <is>
          <t xml:space="preserve">  ▣ 8월 · 세일 사전 부스팅 (1차 웨이브)   —   올영세일 前 인지·각인 확산 + 선택 증거 확보 · 타겟: 입문형+루틴형</t>
        </is>
      </c>
    </row>
    <row r="49">
      <c r="B49" s="30" t="inlineStr">
        <is>
          <t>마이크로 (UGC)</t>
        </is>
      </c>
      <c r="C49" s="31" t="inlineStr">
        <is>
          <t>IG·TT</t>
        </is>
      </c>
      <c r="D49" s="13" t="inlineStr">
        <is>
          <t>위닝 메시지 대량 확산 — 세일 1주 전 집중</t>
        </is>
      </c>
      <c r="E49" s="13" t="inlineStr">
        <is>
          <t>직장인 루틴형 2535</t>
        </is>
      </c>
      <c r="F49" s="32" t="inlineStr">
        <is>
          <t>#올더베러 #오늘도베러</t>
        </is>
      </c>
      <c r="G49" s="15" t="n">
        <v>43</v>
      </c>
      <c r="H49" s="16" t="n">
        <v>350000</v>
      </c>
      <c r="I49" s="20">
        <f>G49*H49</f>
        <v/>
      </c>
      <c r="J49" s="10" t="inlineStr"/>
      <c r="K49" s="10" t="inlineStr"/>
      <c r="L49" s="10" t="inlineStr"/>
      <c r="M49" s="10" t="inlineStr"/>
      <c r="N49" s="10" t="inlineStr"/>
      <c r="O49" s="10" t="inlineStr"/>
    </row>
    <row r="50">
      <c r="B50" s="30" t="inlineStr">
        <is>
          <t>나노</t>
        </is>
      </c>
      <c r="C50" s="31" t="inlineStr">
        <is>
          <t>IG</t>
        </is>
      </c>
      <c r="D50" s="13" t="inlineStr">
        <is>
          <t>다수 진성 후기로 '많이 보이는 제품' 인식 형성</t>
        </is>
      </c>
      <c r="E50" s="13" t="inlineStr">
        <is>
          <t>웰니스 입문형 2030</t>
        </is>
      </c>
      <c r="F50" s="32" t="inlineStr">
        <is>
          <t>#올더베러 #오늘도베러 #웰니스입문</t>
        </is>
      </c>
      <c r="G50" s="15" t="n">
        <v>38</v>
      </c>
      <c r="H50" s="16" t="n">
        <v>225000</v>
      </c>
      <c r="I50" s="20">
        <f>G50*H50</f>
        <v/>
      </c>
      <c r="J50" s="10" t="inlineStr"/>
      <c r="K50" s="10" t="inlineStr"/>
      <c r="L50" s="10" t="inlineStr"/>
      <c r="M50" s="10" t="inlineStr"/>
      <c r="N50" s="10" t="inlineStr"/>
      <c r="O50" s="10" t="inlineStr"/>
    </row>
    <row r="51">
      <c r="B51" s="30" t="inlineStr">
        <is>
          <t>매크로</t>
        </is>
      </c>
      <c r="C51" s="31" t="inlineStr">
        <is>
          <t>IG·TT·YT</t>
        </is>
      </c>
      <c r="D51" s="13" t="inlineStr">
        <is>
          <t>세일 대세감 점화·도달 확대</t>
        </is>
      </c>
      <c r="E51" s="13" t="inlineStr">
        <is>
          <t>헬시플레저 광역 4050+</t>
        </is>
      </c>
      <c r="F51" s="32" t="inlineStr">
        <is>
          <t>#올더베러 #올영세일</t>
        </is>
      </c>
      <c r="G51" s="15" t="n">
        <v>4</v>
      </c>
      <c r="H51" s="16" t="n">
        <v>800000</v>
      </c>
      <c r="I51" s="20">
        <f>G51*H51</f>
        <v/>
      </c>
      <c r="J51" s="10" t="inlineStr"/>
      <c r="K51" s="10" t="inlineStr"/>
      <c r="L51" s="10" t="inlineStr"/>
      <c r="M51" s="10" t="inlineStr"/>
      <c r="N51" s="10" t="inlineStr"/>
      <c r="O51" s="10" t="inlineStr"/>
    </row>
    <row r="52">
      <c r="B52" s="30" t="inlineStr">
        <is>
          <t>KOL 무가시딩</t>
        </is>
      </c>
      <c r="C52" s="31" t="inlineStr">
        <is>
          <t>IG·YT</t>
        </is>
      </c>
      <c r="D52" s="13" t="inlineStr">
        <is>
          <t>오가닉 콘텐츠 확대</t>
        </is>
      </c>
      <c r="E52" s="13" t="inlineStr">
        <is>
          <t>30대 웰니스 KOL</t>
        </is>
      </c>
      <c r="F52" s="32" t="inlineStr">
        <is>
          <t>#올더베러 #오늘도베러</t>
        </is>
      </c>
      <c r="G52" s="15" t="n">
        <v>5</v>
      </c>
      <c r="H52" s="16" t="n">
        <v>50000</v>
      </c>
      <c r="I52" s="20">
        <f>G52*H52</f>
        <v/>
      </c>
      <c r="J52" s="10" t="inlineStr"/>
      <c r="K52" s="10" t="inlineStr"/>
      <c r="L52" s="10" t="inlineStr"/>
      <c r="M52" s="10" t="inlineStr"/>
      <c r="N52" s="10" t="inlineStr"/>
      <c r="O52" s="10" t="inlineStr"/>
    </row>
    <row r="53">
      <c r="B53" s="30" t="inlineStr">
        <is>
          <t>X (트위터) 시딩</t>
        </is>
      </c>
      <c r="C53" s="31" t="inlineStr">
        <is>
          <t>X</t>
        </is>
      </c>
      <c r="D53" s="13" t="inlineStr">
        <is>
          <t>실시간 트렌드·밈 바이럴</t>
        </is>
      </c>
      <c r="E53" s="13" t="inlineStr">
        <is>
          <t>리뷰·밈 2030</t>
        </is>
      </c>
      <c r="F53" s="32" t="inlineStr">
        <is>
          <t>#올더베러 #올영템</t>
        </is>
      </c>
      <c r="G53" s="15" t="n">
        <v>8</v>
      </c>
      <c r="H53" s="16" t="n">
        <v>500000</v>
      </c>
      <c r="I53" s="20">
        <f>G53*H53</f>
        <v/>
      </c>
      <c r="J53" s="10" t="inlineStr"/>
      <c r="K53" s="10" t="inlineStr"/>
      <c r="L53" s="10" t="inlineStr"/>
      <c r="M53" s="10" t="inlineStr"/>
      <c r="N53" s="10" t="inlineStr"/>
      <c r="O53" s="10" t="inlineStr"/>
    </row>
    <row r="54">
      <c r="B54" s="30" t="inlineStr">
        <is>
          <t>네이버 블로그</t>
        </is>
      </c>
      <c r="C54" s="31" t="inlineStr">
        <is>
          <t>Blog</t>
        </is>
      </c>
      <c r="D54" s="13" t="inlineStr">
        <is>
          <t>검색 후기·정보 탐색 상위 노출</t>
        </is>
      </c>
      <c r="E54" s="13" t="inlineStr">
        <is>
          <t>정보탐색 검색자</t>
        </is>
      </c>
      <c r="F54" s="32" t="inlineStr">
        <is>
          <t>#올더베러 #웰니스구미추천</t>
        </is>
      </c>
      <c r="G54" s="15" t="n">
        <v>5</v>
      </c>
      <c r="H54" s="16" t="n">
        <v>200000</v>
      </c>
      <c r="I54" s="20">
        <f>G54*H54</f>
        <v/>
      </c>
      <c r="J54" s="10" t="inlineStr"/>
      <c r="K54" s="10" t="inlineStr"/>
      <c r="L54" s="10" t="inlineStr"/>
      <c r="M54" s="10" t="inlineStr"/>
      <c r="N54" s="10" t="inlineStr"/>
      <c r="O54" s="10" t="inlineStr"/>
    </row>
    <row r="55">
      <c r="B55" s="30" t="inlineStr">
        <is>
          <t>EGC 콘텐츠</t>
        </is>
      </c>
      <c r="C55" s="31" t="inlineStr">
        <is>
          <t>IG·TT</t>
        </is>
      </c>
      <c r="D55" s="13" t="inlineStr">
        <is>
          <t>제품 RTB 신뢰형 콘텐츠</t>
        </is>
      </c>
      <c r="E55" s="13" t="inlineStr">
        <is>
          <t>정보 신뢰 구매고려층</t>
        </is>
      </c>
      <c r="F55" s="32" t="inlineStr">
        <is>
          <t>#올더베러 #직원피셜</t>
        </is>
      </c>
      <c r="G55" s="15" t="n">
        <v>20</v>
      </c>
      <c r="H55" s="16" t="n">
        <v>450000</v>
      </c>
      <c r="I55" s="20">
        <f>G55*H55</f>
        <v/>
      </c>
      <c r="J55" s="10" t="inlineStr"/>
      <c r="K55" s="10" t="inlineStr"/>
      <c r="L55" s="10" t="inlineStr"/>
      <c r="M55" s="10" t="inlineStr"/>
      <c r="N55" s="10" t="inlineStr"/>
      <c r="O55" s="10" t="inlineStr"/>
    </row>
    <row r="56">
      <c r="B56" s="30" t="inlineStr">
        <is>
          <t>Half EGC 콘텐츠</t>
        </is>
      </c>
      <c r="C56" s="31" t="inlineStr">
        <is>
          <t>IG·TT</t>
        </is>
      </c>
      <c r="D56" s="13" t="inlineStr">
        <is>
          <t>건기식 인정 기능성 정보+공감</t>
        </is>
      </c>
      <c r="E56" s="13" t="inlineStr">
        <is>
          <t>건기식 관심 직장인</t>
        </is>
      </c>
      <c r="F56" s="32" t="inlineStr">
        <is>
          <t>#올더베러 #웰니스루틴</t>
        </is>
      </c>
      <c r="G56" s="15" t="n">
        <v>4</v>
      </c>
      <c r="H56" s="16" t="n">
        <v>650000</v>
      </c>
      <c r="I56" s="20">
        <f>G56*H56</f>
        <v/>
      </c>
      <c r="J56" s="10" t="inlineStr"/>
      <c r="K56" s="10" t="inlineStr"/>
      <c r="L56" s="10" t="inlineStr"/>
      <c r="M56" s="10" t="inlineStr"/>
      <c r="N56" s="10" t="inlineStr"/>
      <c r="O56" s="10" t="inlineStr"/>
    </row>
    <row r="57">
      <c r="B57" s="30" t="inlineStr">
        <is>
          <t>파워페이지</t>
        </is>
      </c>
      <c r="C57" s="31" t="inlineStr">
        <is>
          <t>SNS</t>
        </is>
      </c>
      <c r="D57" s="13" t="inlineStr">
        <is>
          <t>'추천템' 맥락·정보성 노출</t>
        </is>
      </c>
      <c r="E57" s="13" t="inlineStr">
        <is>
          <t>구매 고의도 검색자</t>
        </is>
      </c>
      <c r="F57" s="32" t="inlineStr">
        <is>
          <t>#올영추천템 #웰니스추천</t>
        </is>
      </c>
      <c r="G57" s="15" t="n">
        <v>2</v>
      </c>
      <c r="H57" s="16" t="n">
        <v>700000</v>
      </c>
      <c r="I57" s="20">
        <f>G57*H57</f>
        <v/>
      </c>
      <c r="J57" s="10" t="inlineStr"/>
      <c r="K57" s="10" t="inlineStr"/>
      <c r="L57" s="10" t="inlineStr"/>
      <c r="M57" s="10" t="inlineStr"/>
      <c r="N57" s="10" t="inlineStr"/>
      <c r="O57" s="10" t="inlineStr"/>
    </row>
    <row r="58">
      <c r="B58" s="30" t="inlineStr">
        <is>
          <t>커뮤니티 체험단</t>
        </is>
      </c>
      <c r="C58" s="31" t="inlineStr">
        <is>
          <t>뷰티앱·커뮤니티</t>
        </is>
      </c>
      <c r="D58" s="13" t="inlineStr">
        <is>
          <t>체험단·어워드로 '검증된 후기' 볼륨</t>
        </is>
      </c>
      <c r="E58" s="13" t="inlineStr">
        <is>
          <t>카테고리 관여 高 사용자</t>
        </is>
      </c>
      <c r="F58" s="32" t="inlineStr">
        <is>
          <t>#올리브영 #웰니스어워드</t>
        </is>
      </c>
      <c r="G58" s="15" t="n">
        <v>1</v>
      </c>
      <c r="H58" s="16" t="n">
        <v>4000000</v>
      </c>
      <c r="I58" s="20">
        <f>G58*H58</f>
        <v/>
      </c>
      <c r="J58" s="10" t="inlineStr"/>
      <c r="K58" s="10" t="inlineStr"/>
      <c r="L58" s="10" t="inlineStr"/>
      <c r="M58" s="10" t="inlineStr"/>
      <c r="N58" s="10" t="inlineStr"/>
      <c r="O58" s="10" t="inlineStr"/>
    </row>
    <row r="59">
      <c r="B59" s="30" t="inlineStr">
        <is>
          <t>챌린저스</t>
        </is>
      </c>
      <c r="C59" s="31" t="inlineStr">
        <is>
          <t>챌린저스 앱</t>
        </is>
      </c>
      <c r="D59" s="13" t="inlineStr">
        <is>
          <t>구매·리뷰 인증 챌린지 가동(랭킹 빌드업)</t>
        </is>
      </c>
      <c r="E59" s="13" t="inlineStr">
        <is>
          <t>올영 액티브 유저</t>
        </is>
      </c>
      <c r="F59" s="32" t="inlineStr">
        <is>
          <t>#올영1위 #올더베러챌린지</t>
        </is>
      </c>
      <c r="G59" s="15" t="n">
        <v>1</v>
      </c>
      <c r="H59" s="16" t="n">
        <v>4500000</v>
      </c>
      <c r="I59" s="20">
        <f>G59*H59</f>
        <v/>
      </c>
      <c r="J59" s="10" t="inlineStr"/>
      <c r="K59" s="10" t="inlineStr"/>
      <c r="L59" s="10" t="inlineStr"/>
      <c r="M59" s="10" t="inlineStr"/>
      <c r="N59" s="10" t="inlineStr"/>
      <c r="O59" s="10" t="inlineStr"/>
    </row>
    <row r="60">
      <c r="B60" s="30" t="inlineStr">
        <is>
          <t>BATi 마이크로 앰배서더</t>
        </is>
      </c>
      <c r="C60" s="31" t="inlineStr">
        <is>
          <t>IG·TT</t>
        </is>
      </c>
      <c r="D60" s="13" t="inlineStr">
        <is>
          <t>세일 前 앰배서더 위닝 메시지 협업</t>
        </is>
      </c>
      <c r="E60" s="13" t="inlineStr">
        <is>
          <t>우수 마이크로 앰배서더</t>
        </is>
      </c>
      <c r="F60" s="32" t="inlineStr">
        <is>
          <t>#올더베러 #오늘도베러</t>
        </is>
      </c>
      <c r="G60" s="15" t="n">
        <v>10</v>
      </c>
      <c r="H60" s="16" t="n">
        <v>350000</v>
      </c>
      <c r="I60" s="20">
        <f>G60*H60</f>
        <v/>
      </c>
      <c r="J60" s="10" t="inlineStr"/>
      <c r="K60" s="10" t="inlineStr"/>
      <c r="L60" s="10" t="inlineStr"/>
      <c r="M60" s="10" t="inlineStr"/>
      <c r="N60" s="10" t="inlineStr"/>
      <c r="O60" s="10" t="inlineStr"/>
    </row>
    <row r="61">
      <c r="B61" s="30" t="inlineStr">
        <is>
          <t>콘텐츠 제작 (KV·영상·이미지)</t>
        </is>
      </c>
      <c r="C61" s="31" t="inlineStr">
        <is>
          <t>제작</t>
        </is>
      </c>
      <c r="D61" s="13" t="inlineStr">
        <is>
          <t>세일 소재·B&amp;A 컷 제작</t>
        </is>
      </c>
      <c r="E61" s="13" t="inlineStr">
        <is>
          <t>—</t>
        </is>
      </c>
      <c r="F61" s="32" t="inlineStr">
        <is>
          <t>—</t>
        </is>
      </c>
      <c r="G61" s="15" t="n">
        <v>1</v>
      </c>
      <c r="H61" s="16" t="n">
        <v>1085000</v>
      </c>
      <c r="I61" s="20">
        <f>G61*H61</f>
        <v/>
      </c>
      <c r="J61" s="10" t="inlineStr"/>
      <c r="K61" s="10" t="inlineStr"/>
      <c r="L61" s="10" t="inlineStr"/>
      <c r="M61" s="10" t="inlineStr"/>
      <c r="N61" s="10" t="inlineStr"/>
      <c r="O61" s="10" t="inlineStr"/>
    </row>
    <row r="62">
      <c r="B62" s="30" t="inlineStr">
        <is>
          <t>스프레이ai 솔루션</t>
        </is>
      </c>
      <c r="C62" s="31" t="inlineStr">
        <is>
          <t>솔루션</t>
        </is>
      </c>
      <c r="D62" s="13" t="inlineStr">
        <is>
          <t>AI 스프레이 솔루션 운용(콘텐츠 자동 생성·배포 보조)</t>
        </is>
      </c>
      <c r="E62" s="13" t="inlineStr">
        <is>
          <t>—</t>
        </is>
      </c>
      <c r="F62" s="32" t="inlineStr">
        <is>
          <t>—</t>
        </is>
      </c>
      <c r="G62" s="15" t="n">
        <v>1</v>
      </c>
      <c r="H62" s="16" t="n">
        <v>1015000</v>
      </c>
      <c r="I62" s="20">
        <f>G62*H62</f>
        <v/>
      </c>
      <c r="J62" s="10" t="inlineStr"/>
      <c r="K62" s="10" t="inlineStr"/>
      <c r="L62" s="10" t="inlineStr"/>
      <c r="M62" s="10" t="inlineStr"/>
      <c r="N62" s="10" t="inlineStr"/>
      <c r="O62" s="10" t="inlineStr"/>
    </row>
    <row r="63">
      <c r="B63" s="33" t="inlineStr">
        <is>
          <t>8월 소계</t>
        </is>
      </c>
      <c r="G63" s="34">
        <f>SUM(G49:G62)</f>
        <v/>
      </c>
      <c r="H63" s="35" t="inlineStr"/>
      <c r="I63" s="36">
        <f>SUM(I49:I62)</f>
        <v/>
      </c>
      <c r="J63" s="35" t="inlineStr"/>
      <c r="K63" s="35" t="inlineStr"/>
      <c r="L63" s="35" t="inlineStr"/>
      <c r="M63" s="35" t="inlineStr"/>
      <c r="N63" s="35" t="inlineStr"/>
      <c r="O63" s="35" t="inlineStr"/>
    </row>
    <row r="65">
      <c r="B65" s="6" t="inlineStr">
        <is>
          <t>항목</t>
        </is>
      </c>
      <c r="C65" s="6" t="inlineStr">
        <is>
          <t>채널</t>
        </is>
      </c>
      <c r="D65" s="6" t="inlineStr">
        <is>
          <t>캠페인 및 활용 목적 / 앵글</t>
        </is>
      </c>
      <c r="E65" s="6" t="inlineStr">
        <is>
          <t>타겟 페르소나</t>
        </is>
      </c>
      <c r="F65" s="6" t="inlineStr">
        <is>
          <t>필수 해시태그</t>
        </is>
      </c>
      <c r="G65" s="6" t="inlineStr">
        <is>
          <t>목표수량</t>
        </is>
      </c>
      <c r="H65" s="6" t="inlineStr">
        <is>
          <t>단가(할인가)</t>
        </is>
      </c>
      <c r="I65" s="6" t="inlineStr">
        <is>
          <t>금액</t>
        </is>
      </c>
    </row>
    <row r="66">
      <c r="B66" s="29" t="inlineStr">
        <is>
          <t xml:space="preserve">  ▣ 9월 · 올영세일 1차 피크   —   확보한 증거로 구매 전환 + 카테고리 랭킹 상단 · 타겟: 실질 전환형</t>
        </is>
      </c>
    </row>
    <row r="67">
      <c r="B67" s="30" t="inlineStr">
        <is>
          <t>마이크로 (UGC)</t>
        </is>
      </c>
      <c r="C67" s="31" t="inlineStr">
        <is>
          <t>IG·TT</t>
        </is>
      </c>
      <c r="D67" s="13" t="inlineStr">
        <is>
          <t>세일 전환 소구 + '올영 1위' 랭킹 결합 소재</t>
        </is>
      </c>
      <c r="E67" s="13" t="inlineStr">
        <is>
          <t>직장인 루틴형 2535</t>
        </is>
      </c>
      <c r="F67" s="32" t="inlineStr">
        <is>
          <t>#올더베러 #오늘도베러</t>
        </is>
      </c>
      <c r="G67" s="15" t="n">
        <v>26</v>
      </c>
      <c r="H67" s="16" t="n">
        <v>350000</v>
      </c>
      <c r="I67" s="20">
        <f>G67*H67</f>
        <v/>
      </c>
      <c r="J67" s="10" t="inlineStr"/>
      <c r="K67" s="10" t="inlineStr"/>
      <c r="L67" s="10" t="inlineStr"/>
      <c r="M67" s="10" t="inlineStr"/>
      <c r="N67" s="10" t="inlineStr"/>
      <c r="O67" s="10" t="inlineStr"/>
    </row>
    <row r="68">
      <c r="B68" s="30" t="inlineStr">
        <is>
          <t>나노</t>
        </is>
      </c>
      <c r="C68" s="31" t="inlineStr">
        <is>
          <t>IG</t>
        </is>
      </c>
      <c r="D68" s="13" t="inlineStr">
        <is>
          <t>구매 인증·리뷰 볼륨 집중</t>
        </is>
      </c>
      <c r="E68" s="13" t="inlineStr">
        <is>
          <t>웰니스 입문형 2030</t>
        </is>
      </c>
      <c r="F68" s="32" t="inlineStr">
        <is>
          <t>#올더베러 #오늘도베러 #웰니스입문</t>
        </is>
      </c>
      <c r="G68" s="15" t="n">
        <v>22</v>
      </c>
      <c r="H68" s="16" t="n">
        <v>225000</v>
      </c>
      <c r="I68" s="20">
        <f>G68*H68</f>
        <v/>
      </c>
      <c r="J68" s="10" t="inlineStr"/>
      <c r="K68" s="10" t="inlineStr"/>
      <c r="L68" s="10" t="inlineStr"/>
      <c r="M68" s="10" t="inlineStr"/>
      <c r="N68" s="10" t="inlineStr"/>
      <c r="O68" s="10" t="inlineStr"/>
    </row>
    <row r="69">
      <c r="B69" s="30" t="inlineStr">
        <is>
          <t>KOL 무가시딩</t>
        </is>
      </c>
      <c r="C69" s="31" t="inlineStr">
        <is>
          <t>IG·YT</t>
        </is>
      </c>
      <c r="D69" s="13" t="inlineStr">
        <is>
          <t>전환 시점 자발 후기</t>
        </is>
      </c>
      <c r="E69" s="13" t="inlineStr">
        <is>
          <t>30대 웰니스 KOL</t>
        </is>
      </c>
      <c r="F69" s="32" t="inlineStr">
        <is>
          <t>#올더베러 #오늘도베러</t>
        </is>
      </c>
      <c r="G69" s="15" t="n">
        <v>5</v>
      </c>
      <c r="H69" s="16" t="n">
        <v>50000</v>
      </c>
      <c r="I69" s="20">
        <f>G69*H69</f>
        <v/>
      </c>
      <c r="J69" s="10" t="inlineStr"/>
      <c r="K69" s="10" t="inlineStr"/>
      <c r="L69" s="10" t="inlineStr"/>
      <c r="M69" s="10" t="inlineStr"/>
      <c r="N69" s="10" t="inlineStr"/>
      <c r="O69" s="10" t="inlineStr"/>
    </row>
    <row r="70">
      <c r="B70" s="30" t="inlineStr">
        <is>
          <t>EGC 콘텐츠</t>
        </is>
      </c>
      <c r="C70" s="31" t="inlineStr">
        <is>
          <t>IG·TT</t>
        </is>
      </c>
      <c r="D70" s="13" t="inlineStr">
        <is>
          <t>세일 클로징 신뢰 소재</t>
        </is>
      </c>
      <c r="E70" s="13" t="inlineStr">
        <is>
          <t>정보 신뢰 구매고려층</t>
        </is>
      </c>
      <c r="F70" s="32" t="inlineStr">
        <is>
          <t>#올더베러 #직원피셜</t>
        </is>
      </c>
      <c r="G70" s="15" t="n">
        <v>20</v>
      </c>
      <c r="H70" s="16" t="n">
        <v>450000</v>
      </c>
      <c r="I70" s="20">
        <f>G70*H70</f>
        <v/>
      </c>
      <c r="J70" s="10" t="inlineStr"/>
      <c r="K70" s="10" t="inlineStr"/>
      <c r="L70" s="10" t="inlineStr"/>
      <c r="M70" s="10" t="inlineStr"/>
      <c r="N70" s="10" t="inlineStr"/>
      <c r="O70" s="10" t="inlineStr"/>
    </row>
    <row r="71">
      <c r="B71" s="30" t="inlineStr">
        <is>
          <t>Half EGC 콘텐츠</t>
        </is>
      </c>
      <c r="C71" s="31" t="inlineStr">
        <is>
          <t>IG·TT</t>
        </is>
      </c>
      <c r="D71" s="13" t="inlineStr">
        <is>
          <t>건기식 전환 정보 콘텐츠</t>
        </is>
      </c>
      <c r="E71" s="13" t="inlineStr">
        <is>
          <t>건기식 관심 직장인</t>
        </is>
      </c>
      <c r="F71" s="32" t="inlineStr">
        <is>
          <t>#올더베러 #웰니스루틴</t>
        </is>
      </c>
      <c r="G71" s="15" t="n">
        <v>4</v>
      </c>
      <c r="H71" s="16" t="n">
        <v>650000</v>
      </c>
      <c r="I71" s="20">
        <f>G71*H71</f>
        <v/>
      </c>
      <c r="J71" s="10" t="inlineStr"/>
      <c r="K71" s="10" t="inlineStr"/>
      <c r="L71" s="10" t="inlineStr"/>
      <c r="M71" s="10" t="inlineStr"/>
      <c r="N71" s="10" t="inlineStr"/>
      <c r="O71" s="10" t="inlineStr"/>
    </row>
    <row r="72">
      <c r="B72" s="30" t="inlineStr">
        <is>
          <t>BATi 마이크로 앰배서더</t>
        </is>
      </c>
      <c r="C72" s="31" t="inlineStr">
        <is>
          <t>IG·TT</t>
        </is>
      </c>
      <c r="D72" s="13" t="inlineStr">
        <is>
          <t>세일 피크 앰배서더 전환 콘텐츠</t>
        </is>
      </c>
      <c r="E72" s="13" t="inlineStr">
        <is>
          <t>우수 마이크로 앰배서더</t>
        </is>
      </c>
      <c r="F72" s="32" t="inlineStr">
        <is>
          <t>#올더베러 #오늘도베러</t>
        </is>
      </c>
      <c r="G72" s="15" t="n">
        <v>10</v>
      </c>
      <c r="H72" s="16" t="n">
        <v>350000</v>
      </c>
      <c r="I72" s="20">
        <f>G72*H72</f>
        <v/>
      </c>
      <c r="J72" s="10" t="inlineStr"/>
      <c r="K72" s="10" t="inlineStr"/>
      <c r="L72" s="10" t="inlineStr"/>
      <c r="M72" s="10" t="inlineStr"/>
      <c r="N72" s="10" t="inlineStr"/>
      <c r="O72" s="10" t="inlineStr"/>
    </row>
    <row r="73">
      <c r="B73" s="30" t="inlineStr">
        <is>
          <t>콘텐츠 제작 (KV·영상·이미지)</t>
        </is>
      </c>
      <c r="C73" s="31" t="inlineStr">
        <is>
          <t>제작</t>
        </is>
      </c>
      <c r="D73" s="13" t="inlineStr">
        <is>
          <t>세일 본편·마지막날 소재</t>
        </is>
      </c>
      <c r="E73" s="13" t="inlineStr">
        <is>
          <t>—</t>
        </is>
      </c>
      <c r="F73" s="32" t="inlineStr">
        <is>
          <t>—</t>
        </is>
      </c>
      <c r="G73" s="15" t="n">
        <v>1</v>
      </c>
      <c r="H73" s="16" t="n">
        <v>1085000</v>
      </c>
      <c r="I73" s="20">
        <f>G73*H73</f>
        <v/>
      </c>
      <c r="J73" s="10" t="inlineStr"/>
      <c r="K73" s="10" t="inlineStr"/>
      <c r="L73" s="10" t="inlineStr"/>
      <c r="M73" s="10" t="inlineStr"/>
      <c r="N73" s="10" t="inlineStr"/>
      <c r="O73" s="10" t="inlineStr"/>
    </row>
    <row r="74">
      <c r="B74" s="30" t="inlineStr">
        <is>
          <t>스프레이ai 솔루션</t>
        </is>
      </c>
      <c r="C74" s="31" t="inlineStr">
        <is>
          <t>솔루션</t>
        </is>
      </c>
      <c r="D74" s="13" t="inlineStr">
        <is>
          <t>AI 스프레이 솔루션 운용(콘텐츠 자동 생성·배포 보조)</t>
        </is>
      </c>
      <c r="E74" s="13" t="inlineStr">
        <is>
          <t>—</t>
        </is>
      </c>
      <c r="F74" s="32" t="inlineStr">
        <is>
          <t>—</t>
        </is>
      </c>
      <c r="G74" s="15" t="n">
        <v>1</v>
      </c>
      <c r="H74" s="16" t="n">
        <v>1015000</v>
      </c>
      <c r="I74" s="20">
        <f>G74*H74</f>
        <v/>
      </c>
      <c r="J74" s="10" t="inlineStr"/>
      <c r="K74" s="10" t="inlineStr"/>
      <c r="L74" s="10" t="inlineStr"/>
      <c r="M74" s="10" t="inlineStr"/>
      <c r="N74" s="10" t="inlineStr"/>
      <c r="O74" s="10" t="inlineStr"/>
    </row>
    <row r="75">
      <c r="B75" s="33" t="inlineStr">
        <is>
          <t>9월 소계</t>
        </is>
      </c>
      <c r="G75" s="34">
        <f>SUM(G67:G74)</f>
        <v/>
      </c>
      <c r="H75" s="35" t="inlineStr"/>
      <c r="I75" s="36">
        <f>SUM(I67:I74)</f>
        <v/>
      </c>
      <c r="J75" s="35" t="inlineStr"/>
      <c r="K75" s="35" t="inlineStr"/>
      <c r="L75" s="35" t="inlineStr"/>
      <c r="M75" s="35" t="inlineStr"/>
      <c r="N75" s="35" t="inlineStr"/>
      <c r="O75" s="35" t="inlineStr"/>
    </row>
    <row r="77">
      <c r="B77" s="6" t="inlineStr">
        <is>
          <t>항목</t>
        </is>
      </c>
      <c r="C77" s="6" t="inlineStr">
        <is>
          <t>채널</t>
        </is>
      </c>
      <c r="D77" s="6" t="inlineStr">
        <is>
          <t>캠페인 및 활용 목적 / 앵글</t>
        </is>
      </c>
      <c r="E77" s="6" t="inlineStr">
        <is>
          <t>타겟 페르소나</t>
        </is>
      </c>
      <c r="F77" s="6" t="inlineStr">
        <is>
          <t>필수 해시태그</t>
        </is>
      </c>
      <c r="G77" s="6" t="inlineStr">
        <is>
          <t>목표수량</t>
        </is>
      </c>
      <c r="H77" s="6" t="inlineStr">
        <is>
          <t>단가(할인가)</t>
        </is>
      </c>
      <c r="I77" s="6" t="inlineStr">
        <is>
          <t>금액</t>
        </is>
      </c>
    </row>
    <row r="78">
      <c r="B78" s="29" t="inlineStr">
        <is>
          <t xml:space="preserve">  ▣ 10월 · 유지 / 건기식 라인 확장   —   건기식 라인 확장 + 위닝 소재 낙수 · 타겟: 직장인 루틴형</t>
        </is>
      </c>
    </row>
    <row r="79">
      <c r="B79" s="30" t="inlineStr">
        <is>
          <t>마이크로 (UGC)</t>
        </is>
      </c>
      <c r="C79" s="31" t="inlineStr">
        <is>
          <t>IG·TT</t>
        </is>
      </c>
      <c r="D79" s="13" t="inlineStr">
        <is>
          <t>건기식(루테인·바나바잎·올인원) 확장 메시지 테스트</t>
        </is>
      </c>
      <c r="E79" s="13" t="inlineStr">
        <is>
          <t>직장인 루틴형 2535</t>
        </is>
      </c>
      <c r="F79" s="32" t="inlineStr">
        <is>
          <t>#올더베러 #오늘도베러</t>
        </is>
      </c>
      <c r="G79" s="15" t="n">
        <v>22</v>
      </c>
      <c r="H79" s="16" t="n">
        <v>350000</v>
      </c>
      <c r="I79" s="20">
        <f>G79*H79</f>
        <v/>
      </c>
      <c r="J79" s="10" t="inlineStr"/>
      <c r="K79" s="10" t="inlineStr"/>
      <c r="L79" s="10" t="inlineStr"/>
      <c r="M79" s="10" t="inlineStr"/>
      <c r="N79" s="10" t="inlineStr"/>
      <c r="O79" s="10" t="inlineStr"/>
    </row>
    <row r="80">
      <c r="B80" s="30" t="inlineStr">
        <is>
          <t>나노</t>
        </is>
      </c>
      <c r="C80" s="31" t="inlineStr">
        <is>
          <t>IG</t>
        </is>
      </c>
      <c r="D80" s="13" t="inlineStr">
        <is>
          <t>9월 위닝 소재 낙수·후기 자산 확산</t>
        </is>
      </c>
      <c r="E80" s="13" t="inlineStr">
        <is>
          <t>웰니스 입문형 2030</t>
        </is>
      </c>
      <c r="F80" s="32" t="inlineStr">
        <is>
          <t>#올더베러 #오늘도베러 #웰니스입문</t>
        </is>
      </c>
      <c r="G80" s="15" t="n">
        <v>19</v>
      </c>
      <c r="H80" s="16" t="n">
        <v>225000</v>
      </c>
      <c r="I80" s="20">
        <f>G80*H80</f>
        <v/>
      </c>
      <c r="J80" s="10" t="inlineStr"/>
      <c r="K80" s="10" t="inlineStr"/>
      <c r="L80" s="10" t="inlineStr"/>
      <c r="M80" s="10" t="inlineStr"/>
      <c r="N80" s="10" t="inlineStr"/>
      <c r="O80" s="10" t="inlineStr"/>
    </row>
    <row r="81">
      <c r="B81" s="30" t="inlineStr">
        <is>
          <t>KOL 무가시딩</t>
        </is>
      </c>
      <c r="C81" s="31" t="inlineStr">
        <is>
          <t>IG·YT</t>
        </is>
      </c>
      <c r="D81" s="13" t="inlineStr">
        <is>
          <t>관계형 콘텐츠 유지</t>
        </is>
      </c>
      <c r="E81" s="13" t="inlineStr">
        <is>
          <t>30대 웰니스 KOL</t>
        </is>
      </c>
      <c r="F81" s="32" t="inlineStr">
        <is>
          <t>#올더베러 #오늘도베러</t>
        </is>
      </c>
      <c r="G81" s="15" t="n">
        <v>5</v>
      </c>
      <c r="H81" s="16" t="n">
        <v>50000</v>
      </c>
      <c r="I81" s="20">
        <f>G81*H81</f>
        <v/>
      </c>
      <c r="J81" s="10" t="inlineStr"/>
      <c r="K81" s="10" t="inlineStr"/>
      <c r="L81" s="10" t="inlineStr"/>
      <c r="M81" s="10" t="inlineStr"/>
      <c r="N81" s="10" t="inlineStr"/>
      <c r="O81" s="10" t="inlineStr"/>
    </row>
    <row r="82">
      <c r="B82" s="30" t="inlineStr">
        <is>
          <t>EGC 콘텐츠</t>
        </is>
      </c>
      <c r="C82" s="31" t="inlineStr">
        <is>
          <t>IG·TT</t>
        </is>
      </c>
      <c r="D82" s="13" t="inlineStr">
        <is>
          <t>건기식 라인 신뢰 콘텐츠</t>
        </is>
      </c>
      <c r="E82" s="13" t="inlineStr">
        <is>
          <t>정보 신뢰 구매고려층</t>
        </is>
      </c>
      <c r="F82" s="32" t="inlineStr">
        <is>
          <t>#올더베러 #직원피셜</t>
        </is>
      </c>
      <c r="G82" s="15" t="n">
        <v>20</v>
      </c>
      <c r="H82" s="16" t="n">
        <v>450000</v>
      </c>
      <c r="I82" s="20">
        <f>G82*H82</f>
        <v/>
      </c>
      <c r="J82" s="10" t="inlineStr"/>
      <c r="K82" s="10" t="inlineStr"/>
      <c r="L82" s="10" t="inlineStr"/>
      <c r="M82" s="10" t="inlineStr"/>
      <c r="N82" s="10" t="inlineStr"/>
      <c r="O82" s="10" t="inlineStr"/>
    </row>
    <row r="83">
      <c r="B83" s="30" t="inlineStr">
        <is>
          <t>Half EGC 콘텐츠</t>
        </is>
      </c>
      <c r="C83" s="31" t="inlineStr">
        <is>
          <t>IG·TT</t>
        </is>
      </c>
      <c r="D83" s="13" t="inlineStr">
        <is>
          <t>건기식 정보+공감 확장</t>
        </is>
      </c>
      <c r="E83" s="13" t="inlineStr">
        <is>
          <t>건기식 관심 직장인</t>
        </is>
      </c>
      <c r="F83" s="32" t="inlineStr">
        <is>
          <t>#올더베러 #웰니스루틴</t>
        </is>
      </c>
      <c r="G83" s="15" t="n">
        <v>4</v>
      </c>
      <c r="H83" s="16" t="n">
        <v>650000</v>
      </c>
      <c r="I83" s="20">
        <f>G83*H83</f>
        <v/>
      </c>
      <c r="J83" s="10" t="inlineStr"/>
      <c r="K83" s="10" t="inlineStr"/>
      <c r="L83" s="10" t="inlineStr"/>
      <c r="M83" s="10" t="inlineStr"/>
      <c r="N83" s="10" t="inlineStr"/>
      <c r="O83" s="10" t="inlineStr"/>
    </row>
    <row r="84">
      <c r="B84" s="30" t="inlineStr">
        <is>
          <t>BATi 마이크로 앰배서더</t>
        </is>
      </c>
      <c r="C84" s="31" t="inlineStr">
        <is>
          <t>IG·TT</t>
        </is>
      </c>
      <c r="D84" s="13" t="inlineStr">
        <is>
          <t>건기식 라인 앰배서더 협업</t>
        </is>
      </c>
      <c r="E84" s="13" t="inlineStr">
        <is>
          <t>우수 마이크로 앰배서더</t>
        </is>
      </c>
      <c r="F84" s="32" t="inlineStr">
        <is>
          <t>#올더베러 #오늘도베러</t>
        </is>
      </c>
      <c r="G84" s="15" t="n">
        <v>10</v>
      </c>
      <c r="H84" s="16" t="n">
        <v>350000</v>
      </c>
      <c r="I84" s="20">
        <f>G84*H84</f>
        <v/>
      </c>
      <c r="J84" s="10" t="inlineStr"/>
      <c r="K84" s="10" t="inlineStr"/>
      <c r="L84" s="10" t="inlineStr"/>
      <c r="M84" s="10" t="inlineStr"/>
      <c r="N84" s="10" t="inlineStr"/>
      <c r="O84" s="10" t="inlineStr"/>
    </row>
    <row r="85">
      <c r="B85" s="30" t="inlineStr">
        <is>
          <t>콘텐츠 제작 (KV·영상·이미지)</t>
        </is>
      </c>
      <c r="C85" s="31" t="inlineStr">
        <is>
          <t>제작</t>
        </is>
      </c>
      <c r="D85" s="13" t="inlineStr">
        <is>
          <t>건기식 라인 소재 제작</t>
        </is>
      </c>
      <c r="E85" s="13" t="inlineStr">
        <is>
          <t>—</t>
        </is>
      </c>
      <c r="F85" s="32" t="inlineStr">
        <is>
          <t>—</t>
        </is>
      </c>
      <c r="G85" s="15" t="n">
        <v>1</v>
      </c>
      <c r="H85" s="16" t="n">
        <v>1085000</v>
      </c>
      <c r="I85" s="20">
        <f>G85*H85</f>
        <v/>
      </c>
      <c r="J85" s="10" t="inlineStr"/>
      <c r="K85" s="10" t="inlineStr"/>
      <c r="L85" s="10" t="inlineStr"/>
      <c r="M85" s="10" t="inlineStr"/>
      <c r="N85" s="10" t="inlineStr"/>
      <c r="O85" s="10" t="inlineStr"/>
    </row>
    <row r="86">
      <c r="B86" s="30" t="inlineStr">
        <is>
          <t>스프레이ai 솔루션</t>
        </is>
      </c>
      <c r="C86" s="31" t="inlineStr">
        <is>
          <t>솔루션</t>
        </is>
      </c>
      <c r="D86" s="13" t="inlineStr">
        <is>
          <t>AI 스프레이 솔루션 운용(콘텐츠 자동 생성·배포 보조)</t>
        </is>
      </c>
      <c r="E86" s="13" t="inlineStr">
        <is>
          <t>—</t>
        </is>
      </c>
      <c r="F86" s="32" t="inlineStr">
        <is>
          <t>—</t>
        </is>
      </c>
      <c r="G86" s="15" t="n">
        <v>1</v>
      </c>
      <c r="H86" s="16" t="n">
        <v>1015000</v>
      </c>
      <c r="I86" s="20">
        <f>G86*H86</f>
        <v/>
      </c>
      <c r="J86" s="10" t="inlineStr"/>
      <c r="K86" s="10" t="inlineStr"/>
      <c r="L86" s="10" t="inlineStr"/>
      <c r="M86" s="10" t="inlineStr"/>
      <c r="N86" s="10" t="inlineStr"/>
      <c r="O86" s="10" t="inlineStr"/>
    </row>
    <row r="87">
      <c r="B87" s="33" t="inlineStr">
        <is>
          <t>10월 소계</t>
        </is>
      </c>
      <c r="G87" s="34">
        <f>SUM(G79:G86)</f>
        <v/>
      </c>
      <c r="H87" s="35" t="inlineStr"/>
      <c r="I87" s="36">
        <f>SUM(I79:I86)</f>
        <v/>
      </c>
      <c r="J87" s="35" t="inlineStr"/>
      <c r="K87" s="35" t="inlineStr"/>
      <c r="L87" s="35" t="inlineStr"/>
      <c r="M87" s="35" t="inlineStr"/>
      <c r="N87" s="35" t="inlineStr"/>
      <c r="O87" s="35" t="inlineStr"/>
    </row>
    <row r="89">
      <c r="B89" s="6" t="inlineStr">
        <is>
          <t>항목</t>
        </is>
      </c>
      <c r="C89" s="6" t="inlineStr">
        <is>
          <t>채널</t>
        </is>
      </c>
      <c r="D89" s="6" t="inlineStr">
        <is>
          <t>캠페인 및 활용 목적 / 앵글</t>
        </is>
      </c>
      <c r="E89" s="6" t="inlineStr">
        <is>
          <t>타겟 페르소나</t>
        </is>
      </c>
      <c r="F89" s="6" t="inlineStr">
        <is>
          <t>필수 해시태그</t>
        </is>
      </c>
      <c r="G89" s="6" t="inlineStr">
        <is>
          <t>목표수량</t>
        </is>
      </c>
      <c r="H89" s="6" t="inlineStr">
        <is>
          <t>단가(할인가)</t>
        </is>
      </c>
      <c r="I89" s="6" t="inlineStr">
        <is>
          <t>금액</t>
        </is>
      </c>
    </row>
    <row r="90">
      <c r="B90" s="29" t="inlineStr">
        <is>
          <t xml:space="preserve">  ▣ 11월 · 블프 (2차 웨이브)   —   재점화 — 많이 보이고 많이 찾는 브랜드 · 타겟: 입문형+루틴형</t>
        </is>
      </c>
    </row>
    <row r="91">
      <c r="B91" s="30" t="inlineStr">
        <is>
          <t>마이크로 (UGC)</t>
        </is>
      </c>
      <c r="C91" s="31" t="inlineStr">
        <is>
          <t>IG·TT</t>
        </is>
      </c>
      <c r="D91" s="13" t="inlineStr">
        <is>
          <t>블프 재점화·위닝 소재 재투입</t>
        </is>
      </c>
      <c r="E91" s="13" t="inlineStr">
        <is>
          <t>직장인 루틴형 2535</t>
        </is>
      </c>
      <c r="F91" s="32" t="inlineStr">
        <is>
          <t>#올더베러 #오늘도베러</t>
        </is>
      </c>
      <c r="G91" s="15" t="n">
        <v>30</v>
      </c>
      <c r="H91" s="16" t="n">
        <v>350000</v>
      </c>
      <c r="I91" s="20">
        <f>G91*H91</f>
        <v/>
      </c>
      <c r="J91" s="10" t="inlineStr"/>
      <c r="K91" s="10" t="inlineStr"/>
      <c r="L91" s="10" t="inlineStr"/>
      <c r="M91" s="10" t="inlineStr"/>
      <c r="N91" s="10" t="inlineStr"/>
      <c r="O91" s="10" t="inlineStr"/>
    </row>
    <row r="92">
      <c r="B92" s="30" t="inlineStr">
        <is>
          <t>나노</t>
        </is>
      </c>
      <c r="C92" s="31" t="inlineStr">
        <is>
          <t>IG</t>
        </is>
      </c>
      <c r="D92" s="13" t="inlineStr">
        <is>
          <t>진성 후기 재확대·대세감</t>
        </is>
      </c>
      <c r="E92" s="13" t="inlineStr">
        <is>
          <t>웰니스 입문형 2030</t>
        </is>
      </c>
      <c r="F92" s="32" t="inlineStr">
        <is>
          <t>#올더베러 #오늘도베러 #웰니스입문</t>
        </is>
      </c>
      <c r="G92" s="15" t="n">
        <v>26</v>
      </c>
      <c r="H92" s="16" t="n">
        <v>225000</v>
      </c>
      <c r="I92" s="20">
        <f>G92*H92</f>
        <v/>
      </c>
      <c r="J92" s="10" t="inlineStr"/>
      <c r="K92" s="10" t="inlineStr"/>
      <c r="L92" s="10" t="inlineStr"/>
      <c r="M92" s="10" t="inlineStr"/>
      <c r="N92" s="10" t="inlineStr"/>
      <c r="O92" s="10" t="inlineStr"/>
    </row>
    <row r="93">
      <c r="B93" s="30" t="inlineStr">
        <is>
          <t>매크로</t>
        </is>
      </c>
      <c r="C93" s="31" t="inlineStr">
        <is>
          <t>IG·TT·YT</t>
        </is>
      </c>
      <c r="D93" s="13" t="inlineStr">
        <is>
          <t>블프 대세감 점화</t>
        </is>
      </c>
      <c r="E93" s="13" t="inlineStr">
        <is>
          <t>헬시플레저 광역 4050+</t>
        </is>
      </c>
      <c r="F93" s="32" t="inlineStr">
        <is>
          <t>#올더베러 #올영세일</t>
        </is>
      </c>
      <c r="G93" s="15" t="n">
        <v>4</v>
      </c>
      <c r="H93" s="16" t="n">
        <v>800000</v>
      </c>
      <c r="I93" s="20">
        <f>G93*H93</f>
        <v/>
      </c>
      <c r="J93" s="10" t="inlineStr"/>
      <c r="K93" s="10" t="inlineStr"/>
      <c r="L93" s="10" t="inlineStr"/>
      <c r="M93" s="10" t="inlineStr"/>
      <c r="N93" s="10" t="inlineStr"/>
      <c r="O93" s="10" t="inlineStr"/>
    </row>
    <row r="94">
      <c r="B94" s="30" t="inlineStr">
        <is>
          <t>KOL 무가시딩</t>
        </is>
      </c>
      <c r="C94" s="31" t="inlineStr">
        <is>
          <t>IG·YT</t>
        </is>
      </c>
      <c r="D94" s="13" t="inlineStr">
        <is>
          <t>오가닉 재가동</t>
        </is>
      </c>
      <c r="E94" s="13" t="inlineStr">
        <is>
          <t>30대 웰니스 KOL</t>
        </is>
      </c>
      <c r="F94" s="32" t="inlineStr">
        <is>
          <t>#올더베러 #오늘도베러</t>
        </is>
      </c>
      <c r="G94" s="15" t="n">
        <v>5</v>
      </c>
      <c r="H94" s="16" t="n">
        <v>50000</v>
      </c>
      <c r="I94" s="20">
        <f>G94*H94</f>
        <v/>
      </c>
      <c r="J94" s="10" t="inlineStr"/>
      <c r="K94" s="10" t="inlineStr"/>
      <c r="L94" s="10" t="inlineStr"/>
      <c r="M94" s="10" t="inlineStr"/>
      <c r="N94" s="10" t="inlineStr"/>
      <c r="O94" s="10" t="inlineStr"/>
    </row>
    <row r="95">
      <c r="B95" s="30" t="inlineStr">
        <is>
          <t>X (트위터) 시딩</t>
        </is>
      </c>
      <c r="C95" s="31" t="inlineStr">
        <is>
          <t>X</t>
        </is>
      </c>
      <c r="D95" s="13" t="inlineStr">
        <is>
          <t>실시간 트렌드 바이럴</t>
        </is>
      </c>
      <c r="E95" s="13" t="inlineStr">
        <is>
          <t>리뷰·밈 2030</t>
        </is>
      </c>
      <c r="F95" s="32" t="inlineStr">
        <is>
          <t>#올더베러 #올영템</t>
        </is>
      </c>
      <c r="G95" s="15" t="n">
        <v>8</v>
      </c>
      <c r="H95" s="16" t="n">
        <v>500000</v>
      </c>
      <c r="I95" s="20">
        <f>G95*H95</f>
        <v/>
      </c>
      <c r="J95" s="10" t="inlineStr"/>
      <c r="K95" s="10" t="inlineStr"/>
      <c r="L95" s="10" t="inlineStr"/>
      <c r="M95" s="10" t="inlineStr"/>
      <c r="N95" s="10" t="inlineStr"/>
      <c r="O95" s="10" t="inlineStr"/>
    </row>
    <row r="96">
      <c r="B96" s="30" t="inlineStr">
        <is>
          <t>네이버 블로그</t>
        </is>
      </c>
      <c r="C96" s="31" t="inlineStr">
        <is>
          <t>Blog</t>
        </is>
      </c>
      <c r="D96" s="13" t="inlineStr">
        <is>
          <t>검색 상위·추천 점유</t>
        </is>
      </c>
      <c r="E96" s="13" t="inlineStr">
        <is>
          <t>정보탐색 검색자</t>
        </is>
      </c>
      <c r="F96" s="32" t="inlineStr">
        <is>
          <t>#올더베러 #웰니스구미추천</t>
        </is>
      </c>
      <c r="G96" s="15" t="n">
        <v>5</v>
      </c>
      <c r="H96" s="16" t="n">
        <v>200000</v>
      </c>
      <c r="I96" s="20">
        <f>G96*H96</f>
        <v/>
      </c>
      <c r="J96" s="10" t="inlineStr"/>
      <c r="K96" s="10" t="inlineStr"/>
      <c r="L96" s="10" t="inlineStr"/>
      <c r="M96" s="10" t="inlineStr"/>
      <c r="N96" s="10" t="inlineStr"/>
      <c r="O96" s="10" t="inlineStr"/>
    </row>
    <row r="97">
      <c r="B97" s="30" t="inlineStr">
        <is>
          <t>EGC 콘텐츠</t>
        </is>
      </c>
      <c r="C97" s="31" t="inlineStr">
        <is>
          <t>IG·TT</t>
        </is>
      </c>
      <c r="D97" s="13" t="inlineStr">
        <is>
          <t>RTB+혜택 결합 소재</t>
        </is>
      </c>
      <c r="E97" s="13" t="inlineStr">
        <is>
          <t>정보 신뢰 구매고려층</t>
        </is>
      </c>
      <c r="F97" s="32" t="inlineStr">
        <is>
          <t>#올더베러 #직원피셜</t>
        </is>
      </c>
      <c r="G97" s="15" t="n">
        <v>20</v>
      </c>
      <c r="H97" s="16" t="n">
        <v>450000</v>
      </c>
      <c r="I97" s="20">
        <f>G97*H97</f>
        <v/>
      </c>
      <c r="J97" s="10" t="inlineStr"/>
      <c r="K97" s="10" t="inlineStr"/>
      <c r="L97" s="10" t="inlineStr"/>
      <c r="M97" s="10" t="inlineStr"/>
      <c r="N97" s="10" t="inlineStr"/>
      <c r="O97" s="10" t="inlineStr"/>
    </row>
    <row r="98">
      <c r="B98" s="30" t="inlineStr">
        <is>
          <t>Half EGC 콘텐츠</t>
        </is>
      </c>
      <c r="C98" s="31" t="inlineStr">
        <is>
          <t>IG·TT</t>
        </is>
      </c>
      <c r="D98" s="13" t="inlineStr">
        <is>
          <t>건기식 정보 콘텐츠</t>
        </is>
      </c>
      <c r="E98" s="13" t="inlineStr">
        <is>
          <t>건기식 관심 직장인</t>
        </is>
      </c>
      <c r="F98" s="32" t="inlineStr">
        <is>
          <t>#올더베러 #웰니스루틴</t>
        </is>
      </c>
      <c r="G98" s="15" t="n">
        <v>4</v>
      </c>
      <c r="H98" s="16" t="n">
        <v>650000</v>
      </c>
      <c r="I98" s="20">
        <f>G98*H98</f>
        <v/>
      </c>
      <c r="J98" s="10" t="inlineStr"/>
      <c r="K98" s="10" t="inlineStr"/>
      <c r="L98" s="10" t="inlineStr"/>
      <c r="M98" s="10" t="inlineStr"/>
      <c r="N98" s="10" t="inlineStr"/>
      <c r="O98" s="10" t="inlineStr"/>
    </row>
    <row r="99">
      <c r="B99" s="30" t="inlineStr">
        <is>
          <t>파워페이지</t>
        </is>
      </c>
      <c r="C99" s="31" t="inlineStr">
        <is>
          <t>SNS</t>
        </is>
      </c>
      <c r="D99" s="13" t="inlineStr">
        <is>
          <t>추천 맥락 재노출</t>
        </is>
      </c>
      <c r="E99" s="13" t="inlineStr">
        <is>
          <t>구매 고의도 검색자</t>
        </is>
      </c>
      <c r="F99" s="32" t="inlineStr">
        <is>
          <t>#올영추천템 #웰니스추천</t>
        </is>
      </c>
      <c r="G99" s="15" t="n">
        <v>2</v>
      </c>
      <c r="H99" s="16" t="n">
        <v>700000</v>
      </c>
      <c r="I99" s="20">
        <f>G99*H99</f>
        <v/>
      </c>
      <c r="J99" s="10" t="inlineStr"/>
      <c r="K99" s="10" t="inlineStr"/>
      <c r="L99" s="10" t="inlineStr"/>
      <c r="M99" s="10" t="inlineStr"/>
      <c r="N99" s="10" t="inlineStr"/>
      <c r="O99" s="10" t="inlineStr"/>
    </row>
    <row r="100">
      <c r="B100" s="30" t="inlineStr">
        <is>
          <t>커뮤니티 체험단</t>
        </is>
      </c>
      <c r="C100" s="31" t="inlineStr">
        <is>
          <t>뷰티앱·커뮤니티</t>
        </is>
      </c>
      <c r="D100" s="13" t="inlineStr">
        <is>
          <t>검증 후기 보강</t>
        </is>
      </c>
      <c r="E100" s="13" t="inlineStr">
        <is>
          <t>카테고리 관여 高 사용자</t>
        </is>
      </c>
      <c r="F100" s="32" t="inlineStr">
        <is>
          <t>#올리브영 #웰니스어워드</t>
        </is>
      </c>
      <c r="G100" s="15" t="n">
        <v>1</v>
      </c>
      <c r="H100" s="16" t="n">
        <v>4000000</v>
      </c>
      <c r="I100" s="20">
        <f>G100*H100</f>
        <v/>
      </c>
      <c r="J100" s="10" t="inlineStr"/>
      <c r="K100" s="10" t="inlineStr"/>
      <c r="L100" s="10" t="inlineStr"/>
      <c r="M100" s="10" t="inlineStr"/>
      <c r="N100" s="10" t="inlineStr"/>
      <c r="O100" s="10" t="inlineStr"/>
    </row>
    <row r="101">
      <c r="B101" s="30" t="inlineStr">
        <is>
          <t>챌린저스</t>
        </is>
      </c>
      <c r="C101" s="31" t="inlineStr">
        <is>
          <t>챌린저스 앱</t>
        </is>
      </c>
      <c r="D101" s="13" t="inlineStr">
        <is>
          <t>챌린저스 2차·신뢰 자산 보강</t>
        </is>
      </c>
      <c r="E101" s="13" t="inlineStr">
        <is>
          <t>올영 액티브 유저</t>
        </is>
      </c>
      <c r="F101" s="32" t="inlineStr">
        <is>
          <t>#올영1위 #올더베러챌린지</t>
        </is>
      </c>
      <c r="G101" s="15" t="n">
        <v>1</v>
      </c>
      <c r="H101" s="16" t="n">
        <v>4500000</v>
      </c>
      <c r="I101" s="20">
        <f>G101*H101</f>
        <v/>
      </c>
      <c r="J101" s="10" t="inlineStr"/>
      <c r="K101" s="10" t="inlineStr"/>
      <c r="L101" s="10" t="inlineStr"/>
      <c r="M101" s="10" t="inlineStr"/>
      <c r="N101" s="10" t="inlineStr"/>
      <c r="O101" s="10" t="inlineStr"/>
    </row>
    <row r="102">
      <c r="B102" s="30" t="inlineStr">
        <is>
          <t>BATi 마이크로 앰배서더</t>
        </is>
      </c>
      <c r="C102" s="31" t="inlineStr">
        <is>
          <t>IG·TT</t>
        </is>
      </c>
      <c r="D102" s="13" t="inlineStr">
        <is>
          <t>블프 앰배서더 재점화 협업</t>
        </is>
      </c>
      <c r="E102" s="13" t="inlineStr">
        <is>
          <t>우수 마이크로 앰배서더</t>
        </is>
      </c>
      <c r="F102" s="32" t="inlineStr">
        <is>
          <t>#올더베러 #오늘도베러</t>
        </is>
      </c>
      <c r="G102" s="15" t="n">
        <v>10</v>
      </c>
      <c r="H102" s="16" t="n">
        <v>350000</v>
      </c>
      <c r="I102" s="20">
        <f>G102*H102</f>
        <v/>
      </c>
      <c r="J102" s="10" t="inlineStr"/>
      <c r="K102" s="10" t="inlineStr"/>
      <c r="L102" s="10" t="inlineStr"/>
      <c r="M102" s="10" t="inlineStr"/>
      <c r="N102" s="10" t="inlineStr"/>
      <c r="O102" s="10" t="inlineStr"/>
    </row>
    <row r="103">
      <c r="B103" s="30" t="inlineStr">
        <is>
          <t>콘텐츠 제작 (KV·영상·이미지)</t>
        </is>
      </c>
      <c r="C103" s="31" t="inlineStr">
        <is>
          <t>제작</t>
        </is>
      </c>
      <c r="D103" s="13" t="inlineStr">
        <is>
          <t>블프 소재 제작</t>
        </is>
      </c>
      <c r="E103" s="13" t="inlineStr">
        <is>
          <t>—</t>
        </is>
      </c>
      <c r="F103" s="32" t="inlineStr">
        <is>
          <t>—</t>
        </is>
      </c>
      <c r="G103" s="15" t="n">
        <v>1</v>
      </c>
      <c r="H103" s="16" t="n">
        <v>1085000</v>
      </c>
      <c r="I103" s="20">
        <f>G103*H103</f>
        <v/>
      </c>
      <c r="J103" s="10" t="inlineStr"/>
      <c r="K103" s="10" t="inlineStr"/>
      <c r="L103" s="10" t="inlineStr"/>
      <c r="M103" s="10" t="inlineStr"/>
      <c r="N103" s="10" t="inlineStr"/>
      <c r="O103" s="10" t="inlineStr"/>
    </row>
    <row r="104">
      <c r="B104" s="30" t="inlineStr">
        <is>
          <t>스프레이ai 솔루션</t>
        </is>
      </c>
      <c r="C104" s="31" t="inlineStr">
        <is>
          <t>솔루션</t>
        </is>
      </c>
      <c r="D104" s="13" t="inlineStr">
        <is>
          <t>AI 스프레이 솔루션 운용(콘텐츠 자동 생성·배포 보조)</t>
        </is>
      </c>
      <c r="E104" s="13" t="inlineStr">
        <is>
          <t>—</t>
        </is>
      </c>
      <c r="F104" s="32" t="inlineStr">
        <is>
          <t>—</t>
        </is>
      </c>
      <c r="G104" s="15" t="n">
        <v>1</v>
      </c>
      <c r="H104" s="16" t="n">
        <v>1015000</v>
      </c>
      <c r="I104" s="20">
        <f>G104*H104</f>
        <v/>
      </c>
      <c r="J104" s="10" t="inlineStr"/>
      <c r="K104" s="10" t="inlineStr"/>
      <c r="L104" s="10" t="inlineStr"/>
      <c r="M104" s="10" t="inlineStr"/>
      <c r="N104" s="10" t="inlineStr"/>
      <c r="O104" s="10" t="inlineStr"/>
    </row>
    <row r="105">
      <c r="B105" s="33" t="inlineStr">
        <is>
          <t>11월 소계</t>
        </is>
      </c>
      <c r="G105" s="34">
        <f>SUM(G91:G104)</f>
        <v/>
      </c>
      <c r="H105" s="35" t="inlineStr"/>
      <c r="I105" s="36">
        <f>SUM(I91:I104)</f>
        <v/>
      </c>
      <c r="J105" s="35" t="inlineStr"/>
      <c r="K105" s="35" t="inlineStr"/>
      <c r="L105" s="35" t="inlineStr"/>
      <c r="M105" s="35" t="inlineStr"/>
      <c r="N105" s="35" t="inlineStr"/>
      <c r="O105" s="35" t="inlineStr"/>
    </row>
    <row r="107">
      <c r="B107" s="6" t="inlineStr">
        <is>
          <t>항목</t>
        </is>
      </c>
      <c r="C107" s="6" t="inlineStr">
        <is>
          <t>채널</t>
        </is>
      </c>
      <c r="D107" s="6" t="inlineStr">
        <is>
          <t>캠페인 및 활용 목적 / 앵글</t>
        </is>
      </c>
      <c r="E107" s="6" t="inlineStr">
        <is>
          <t>타겟 페르소나</t>
        </is>
      </c>
      <c r="F107" s="6" t="inlineStr">
        <is>
          <t>필수 해시태그</t>
        </is>
      </c>
      <c r="G107" s="6" t="inlineStr">
        <is>
          <t>목표수량</t>
        </is>
      </c>
      <c r="H107" s="6" t="inlineStr">
        <is>
          <t>단가(할인가)</t>
        </is>
      </c>
      <c r="I107" s="6" t="inlineStr">
        <is>
          <t>금액</t>
        </is>
      </c>
    </row>
    <row r="108">
      <c r="B108" s="29" t="inlineStr">
        <is>
          <t xml:space="preserve">  ▣ 12월 · 올영세일 2차 피크 / 대표성 착지   —   웰니스 카테고리 대표 브랜드 착지 · 타겟: 실질 전환형</t>
        </is>
      </c>
    </row>
    <row r="109">
      <c r="B109" s="30" t="inlineStr">
        <is>
          <t>마이크로 (UGC)</t>
        </is>
      </c>
      <c r="C109" s="31" t="inlineStr">
        <is>
          <t>IG·TT</t>
        </is>
      </c>
      <c r="D109" s="13" t="inlineStr">
        <is>
          <t>전 라인업 대표성 콘텐츠·세일 클로징</t>
        </is>
      </c>
      <c r="E109" s="13" t="inlineStr">
        <is>
          <t>직장인 루틴형 2535</t>
        </is>
      </c>
      <c r="F109" s="32" t="inlineStr">
        <is>
          <t>#올더베러 #오늘도베러</t>
        </is>
      </c>
      <c r="G109" s="15" t="n">
        <v>37</v>
      </c>
      <c r="H109" s="16" t="n">
        <v>350000</v>
      </c>
      <c r="I109" s="20">
        <f>G109*H109</f>
        <v/>
      </c>
      <c r="J109" s="10" t="inlineStr"/>
      <c r="K109" s="10" t="inlineStr"/>
      <c r="L109" s="10" t="inlineStr"/>
      <c r="M109" s="10" t="inlineStr"/>
      <c r="N109" s="10" t="inlineStr"/>
      <c r="O109" s="10" t="inlineStr"/>
    </row>
    <row r="110">
      <c r="B110" s="30" t="inlineStr">
        <is>
          <t>나노</t>
        </is>
      </c>
      <c r="C110" s="31" t="inlineStr">
        <is>
          <t>IG</t>
        </is>
      </c>
      <c r="D110" s="13" t="inlineStr">
        <is>
          <t>구매 인증·쟁여두기 소구</t>
        </is>
      </c>
      <c r="E110" s="13" t="inlineStr">
        <is>
          <t>웰니스 입문형 2030</t>
        </is>
      </c>
      <c r="F110" s="32" t="inlineStr">
        <is>
          <t>#올더베러 #오늘도베러 #웰니스입문</t>
        </is>
      </c>
      <c r="G110" s="15" t="n">
        <v>36</v>
      </c>
      <c r="H110" s="16" t="n">
        <v>225000</v>
      </c>
      <c r="I110" s="20">
        <f>G110*H110</f>
        <v/>
      </c>
      <c r="J110" s="10" t="inlineStr"/>
      <c r="K110" s="10" t="inlineStr"/>
      <c r="L110" s="10" t="inlineStr"/>
      <c r="M110" s="10" t="inlineStr"/>
      <c r="N110" s="10" t="inlineStr"/>
      <c r="O110" s="10" t="inlineStr"/>
    </row>
    <row r="111">
      <c r="B111" s="30" t="inlineStr">
        <is>
          <t>매크로</t>
        </is>
      </c>
      <c r="C111" s="31" t="inlineStr">
        <is>
          <t>IG·TT·YT</t>
        </is>
      </c>
      <c r="D111" s="13" t="inlineStr">
        <is>
          <t>세일 대세감·대표성</t>
        </is>
      </c>
      <c r="E111" s="13" t="inlineStr">
        <is>
          <t>헬시플레저 광역 4050+</t>
        </is>
      </c>
      <c r="F111" s="32" t="inlineStr">
        <is>
          <t>#올더베러 #올영세일</t>
        </is>
      </c>
      <c r="G111" s="15" t="n">
        <v>4</v>
      </c>
      <c r="H111" s="16" t="n">
        <v>800000</v>
      </c>
      <c r="I111" s="20">
        <f>G111*H111</f>
        <v/>
      </c>
      <c r="J111" s="10" t="inlineStr"/>
      <c r="K111" s="10" t="inlineStr"/>
      <c r="L111" s="10" t="inlineStr"/>
      <c r="M111" s="10" t="inlineStr"/>
      <c r="N111" s="10" t="inlineStr"/>
      <c r="O111" s="10" t="inlineStr"/>
    </row>
    <row r="112">
      <c r="B112" s="30" t="inlineStr">
        <is>
          <t>KOL 무가시딩</t>
        </is>
      </c>
      <c r="C112" s="31" t="inlineStr">
        <is>
          <t>IG·YT</t>
        </is>
      </c>
      <c r="D112" s="13" t="inlineStr">
        <is>
          <t>연말 자발 후기</t>
        </is>
      </c>
      <c r="E112" s="13" t="inlineStr">
        <is>
          <t>30대 웰니스 KOL</t>
        </is>
      </c>
      <c r="F112" s="32" t="inlineStr">
        <is>
          <t>#올더베러 #오늘도베러</t>
        </is>
      </c>
      <c r="G112" s="15" t="n">
        <v>5</v>
      </c>
      <c r="H112" s="16" t="n">
        <v>50000</v>
      </c>
      <c r="I112" s="20">
        <f>G112*H112</f>
        <v/>
      </c>
      <c r="J112" s="10" t="inlineStr"/>
      <c r="K112" s="10" t="inlineStr"/>
      <c r="L112" s="10" t="inlineStr"/>
      <c r="M112" s="10" t="inlineStr"/>
      <c r="N112" s="10" t="inlineStr"/>
      <c r="O112" s="10" t="inlineStr"/>
    </row>
    <row r="113">
      <c r="B113" s="30" t="inlineStr">
        <is>
          <t>X (트위터) 시딩</t>
        </is>
      </c>
      <c r="C113" s="31" t="inlineStr">
        <is>
          <t>X</t>
        </is>
      </c>
      <c r="D113" s="13" t="inlineStr">
        <is>
          <t>실시간 바이럴</t>
        </is>
      </c>
      <c r="E113" s="13" t="inlineStr">
        <is>
          <t>리뷰·밈 2030</t>
        </is>
      </c>
      <c r="F113" s="32" t="inlineStr">
        <is>
          <t>#올더베러 #올영템</t>
        </is>
      </c>
      <c r="G113" s="15" t="n">
        <v>9</v>
      </c>
      <c r="H113" s="16" t="n">
        <v>500000</v>
      </c>
      <c r="I113" s="20">
        <f>G113*H113</f>
        <v/>
      </c>
      <c r="J113" s="10" t="inlineStr"/>
      <c r="K113" s="10" t="inlineStr"/>
      <c r="L113" s="10" t="inlineStr"/>
      <c r="M113" s="10" t="inlineStr"/>
      <c r="N113" s="10" t="inlineStr"/>
      <c r="O113" s="10" t="inlineStr"/>
    </row>
    <row r="114">
      <c r="B114" s="30" t="inlineStr">
        <is>
          <t>네이버 블로그</t>
        </is>
      </c>
      <c r="C114" s="31" t="inlineStr">
        <is>
          <t>Blog</t>
        </is>
      </c>
      <c r="D114" s="13" t="inlineStr">
        <is>
          <t>검색 점유 유지</t>
        </is>
      </c>
      <c r="E114" s="13" t="inlineStr">
        <is>
          <t>정보탐색 검색자</t>
        </is>
      </c>
      <c r="F114" s="32" t="inlineStr">
        <is>
          <t>#올더베러 #웰니스구미추천</t>
        </is>
      </c>
      <c r="G114" s="15" t="n">
        <v>5</v>
      </c>
      <c r="H114" s="16" t="n">
        <v>200000</v>
      </c>
      <c r="I114" s="20">
        <f>G114*H114</f>
        <v/>
      </c>
      <c r="J114" s="10" t="inlineStr"/>
      <c r="K114" s="10" t="inlineStr"/>
      <c r="L114" s="10" t="inlineStr"/>
      <c r="M114" s="10" t="inlineStr"/>
      <c r="N114" s="10" t="inlineStr"/>
      <c r="O114" s="10" t="inlineStr"/>
    </row>
    <row r="115">
      <c r="B115" s="30" t="inlineStr">
        <is>
          <t>EGC 콘텐츠</t>
        </is>
      </c>
      <c r="C115" s="31" t="inlineStr">
        <is>
          <t>IG·TT</t>
        </is>
      </c>
      <c r="D115" s="13" t="inlineStr">
        <is>
          <t>대표성 신뢰 소재</t>
        </is>
      </c>
      <c r="E115" s="13" t="inlineStr">
        <is>
          <t>정보 신뢰 구매고려층</t>
        </is>
      </c>
      <c r="F115" s="32" t="inlineStr">
        <is>
          <t>#올더베러 #직원피셜</t>
        </is>
      </c>
      <c r="G115" s="15" t="n">
        <v>20</v>
      </c>
      <c r="H115" s="16" t="n">
        <v>450000</v>
      </c>
      <c r="I115" s="20">
        <f>G115*H115</f>
        <v/>
      </c>
      <c r="J115" s="10" t="inlineStr"/>
      <c r="K115" s="10" t="inlineStr"/>
      <c r="L115" s="10" t="inlineStr"/>
      <c r="M115" s="10" t="inlineStr"/>
      <c r="N115" s="10" t="inlineStr"/>
      <c r="O115" s="10" t="inlineStr"/>
    </row>
    <row r="116">
      <c r="B116" s="30" t="inlineStr">
        <is>
          <t>Half EGC 콘텐츠</t>
        </is>
      </c>
      <c r="C116" s="31" t="inlineStr">
        <is>
          <t>IG·TT</t>
        </is>
      </c>
      <c r="D116" s="13" t="inlineStr">
        <is>
          <t>건기식 정보 콘텐츠</t>
        </is>
      </c>
      <c r="E116" s="13" t="inlineStr">
        <is>
          <t>건기식 관심 직장인</t>
        </is>
      </c>
      <c r="F116" s="32" t="inlineStr">
        <is>
          <t>#올더베러 #웰니스루틴</t>
        </is>
      </c>
      <c r="G116" s="15" t="n">
        <v>4</v>
      </c>
      <c r="H116" s="16" t="n">
        <v>650000</v>
      </c>
      <c r="I116" s="20">
        <f>G116*H116</f>
        <v/>
      </c>
      <c r="J116" s="10" t="inlineStr"/>
      <c r="K116" s="10" t="inlineStr"/>
      <c r="L116" s="10" t="inlineStr"/>
      <c r="M116" s="10" t="inlineStr"/>
      <c r="N116" s="10" t="inlineStr"/>
      <c r="O116" s="10" t="inlineStr"/>
    </row>
    <row r="117">
      <c r="B117" s="30" t="inlineStr">
        <is>
          <t>파워페이지</t>
        </is>
      </c>
      <c r="C117" s="31" t="inlineStr">
        <is>
          <t>SNS</t>
        </is>
      </c>
      <c r="D117" s="13" t="inlineStr">
        <is>
          <t>추천 맥락 노출</t>
        </is>
      </c>
      <c r="E117" s="13" t="inlineStr">
        <is>
          <t>구매 고의도 검색자</t>
        </is>
      </c>
      <c r="F117" s="32" t="inlineStr">
        <is>
          <t>#올영추천템 #웰니스추천</t>
        </is>
      </c>
      <c r="G117" s="15" t="n">
        <v>2</v>
      </c>
      <c r="H117" s="16" t="n">
        <v>700000</v>
      </c>
      <c r="I117" s="20">
        <f>G117*H117</f>
        <v/>
      </c>
      <c r="J117" s="10" t="inlineStr"/>
      <c r="K117" s="10" t="inlineStr"/>
      <c r="L117" s="10" t="inlineStr"/>
      <c r="M117" s="10" t="inlineStr"/>
      <c r="N117" s="10" t="inlineStr"/>
      <c r="O117" s="10" t="inlineStr"/>
    </row>
    <row r="118">
      <c r="B118" s="30" t="inlineStr">
        <is>
          <t>BATi 마이크로 앰배서더</t>
        </is>
      </c>
      <c r="C118" s="31" t="inlineStr">
        <is>
          <t>IG·TT</t>
        </is>
      </c>
      <c r="D118" s="13" t="inlineStr">
        <is>
          <t>연말 대표성 앰배서더 협업</t>
        </is>
      </c>
      <c r="E118" s="13" t="inlineStr">
        <is>
          <t>우수 마이크로 앰배서더</t>
        </is>
      </c>
      <c r="F118" s="32" t="inlineStr">
        <is>
          <t>#올더베러 #오늘도베러</t>
        </is>
      </c>
      <c r="G118" s="15" t="n">
        <v>10</v>
      </c>
      <c r="H118" s="16" t="n">
        <v>350000</v>
      </c>
      <c r="I118" s="20">
        <f>G118*H118</f>
        <v/>
      </c>
      <c r="J118" s="10" t="inlineStr"/>
      <c r="K118" s="10" t="inlineStr"/>
      <c r="L118" s="10" t="inlineStr"/>
      <c r="M118" s="10" t="inlineStr"/>
      <c r="N118" s="10" t="inlineStr"/>
      <c r="O118" s="10" t="inlineStr"/>
    </row>
    <row r="119">
      <c r="B119" s="30" t="inlineStr">
        <is>
          <t>콘텐츠 제작 (KV·영상·이미지)</t>
        </is>
      </c>
      <c r="C119" s="31" t="inlineStr">
        <is>
          <t>제작</t>
        </is>
      </c>
      <c r="D119" s="13" t="inlineStr">
        <is>
          <t>세일 클로징 소재</t>
        </is>
      </c>
      <c r="E119" s="13" t="inlineStr">
        <is>
          <t>—</t>
        </is>
      </c>
      <c r="F119" s="32" t="inlineStr">
        <is>
          <t>—</t>
        </is>
      </c>
      <c r="G119" s="15" t="n">
        <v>1</v>
      </c>
      <c r="H119" s="16" t="n">
        <v>1085000</v>
      </c>
      <c r="I119" s="20">
        <f>G119*H119</f>
        <v/>
      </c>
      <c r="J119" s="10" t="inlineStr"/>
      <c r="K119" s="10" t="inlineStr"/>
      <c r="L119" s="10" t="inlineStr"/>
      <c r="M119" s="10" t="inlineStr"/>
      <c r="N119" s="10" t="inlineStr"/>
      <c r="O119" s="10" t="inlineStr"/>
    </row>
    <row r="120">
      <c r="B120" s="30" t="inlineStr">
        <is>
          <t>스프레이ai 솔루션</t>
        </is>
      </c>
      <c r="C120" s="31" t="inlineStr">
        <is>
          <t>솔루션</t>
        </is>
      </c>
      <c r="D120" s="13" t="inlineStr">
        <is>
          <t>AI 스프레이 솔루션 운용(콘텐츠 자동 생성·배포 보조)</t>
        </is>
      </c>
      <c r="E120" s="13" t="inlineStr">
        <is>
          <t>—</t>
        </is>
      </c>
      <c r="F120" s="32" t="inlineStr">
        <is>
          <t>—</t>
        </is>
      </c>
      <c r="G120" s="15" t="n">
        <v>1</v>
      </c>
      <c r="H120" s="16" t="n">
        <v>1015000</v>
      </c>
      <c r="I120" s="20">
        <f>G120*H120</f>
        <v/>
      </c>
      <c r="J120" s="10" t="inlineStr"/>
      <c r="K120" s="10" t="inlineStr"/>
      <c r="L120" s="10" t="inlineStr"/>
      <c r="M120" s="10" t="inlineStr"/>
      <c r="N120" s="10" t="inlineStr"/>
      <c r="O120" s="10" t="inlineStr"/>
    </row>
    <row r="121">
      <c r="B121" s="33" t="inlineStr">
        <is>
          <t>12월 소계</t>
        </is>
      </c>
      <c r="G121" s="34">
        <f>SUM(G109:G120)</f>
        <v/>
      </c>
      <c r="H121" s="35" t="inlineStr"/>
      <c r="I121" s="36">
        <f>SUM(I109:I120)</f>
        <v/>
      </c>
      <c r="J121" s="35" t="inlineStr"/>
      <c r="K121" s="35" t="inlineStr"/>
      <c r="L121" s="35" t="inlineStr"/>
      <c r="M121" s="35" t="inlineStr"/>
      <c r="N121" s="35" t="inlineStr"/>
      <c r="O121" s="35" t="inlineStr"/>
    </row>
    <row r="123">
      <c r="B123" s="22" t="inlineStr">
        <is>
          <t>월별 총 합계 (할인가, VAT 별도)</t>
        </is>
      </c>
      <c r="I123" s="26">
        <f>N30</f>
        <v/>
      </c>
    </row>
    <row r="126">
      <c r="B126" s="3" t="inlineStr">
        <is>
          <t>■ 무상 지원 (Value-add · 0원)</t>
        </is>
      </c>
    </row>
    <row r="127">
      <c r="B127" s="37" t="inlineStr">
        <is>
          <t>고성과 리포트 대시보드</t>
        </is>
      </c>
      <c r="C127" s="10" t="inlineStr">
        <is>
          <t>무상</t>
        </is>
      </c>
      <c r="D127" s="12" t="inlineStr">
        <is>
          <t>캠페인 성과·랭킹 트래킹 실시간 제공</t>
        </is>
      </c>
      <c r="N127" s="10" t="inlineStr">
        <is>
          <t>-</t>
        </is>
      </c>
      <c r="O127" s="10" t="inlineStr"/>
    </row>
    <row r="128">
      <c r="B128" s="37" t="inlineStr">
        <is>
          <t>올리비아 (AI 어시스턴트)</t>
        </is>
      </c>
      <c r="C128" s="10" t="inlineStr">
        <is>
          <t>무상</t>
        </is>
      </c>
      <c r="D128" s="12" t="inlineStr">
        <is>
          <t>AI 콘텐츠·리포팅 어시스턴트 제공</t>
        </is>
      </c>
      <c r="N128" s="10" t="inlineStr">
        <is>
          <t>-</t>
        </is>
      </c>
      <c r="O128" s="10" t="inlineStr"/>
    </row>
    <row r="129">
      <c r="B129" s="37" t="inlineStr">
        <is>
          <t>VOC 딥다이브 리포트</t>
        </is>
      </c>
      <c r="C129" s="10" t="inlineStr">
        <is>
          <t>무상</t>
        </is>
      </c>
      <c r="D129" s="12" t="inlineStr">
        <is>
          <t>리뷰 크롤링·키워드 분석 리포트</t>
        </is>
      </c>
      <c r="N129" s="10" t="inlineStr">
        <is>
          <t>-</t>
        </is>
      </c>
      <c r="O129" s="10" t="inlineStr"/>
    </row>
    <row r="130">
      <c r="B130" s="37" t="inlineStr">
        <is>
          <t>Claude AI 심의 사전검수</t>
        </is>
      </c>
      <c r="C130" s="10" t="inlineStr">
        <is>
          <t>무상</t>
        </is>
      </c>
      <c r="D130" s="12" t="inlineStr">
        <is>
          <t>심의 반려율↓·리드타임 단축</t>
        </is>
      </c>
      <c r="N130" s="10" t="inlineStr">
        <is>
          <t>-</t>
        </is>
      </c>
      <c r="O130" s="10" t="inlineStr"/>
    </row>
    <row r="131">
      <c r="B131" s="37" t="inlineStr">
        <is>
          <t>월간 성과 리포팅</t>
        </is>
      </c>
      <c r="C131" s="10" t="inlineStr">
        <is>
          <t>무상</t>
        </is>
      </c>
      <c r="D131" s="12" t="inlineStr">
        <is>
          <t>캠페인 완수 후 리포팅 제공</t>
        </is>
      </c>
      <c r="N131" s="10" t="inlineStr">
        <is>
          <t>-</t>
        </is>
      </c>
      <c r="O131" s="10" t="inlineStr"/>
    </row>
    <row r="132">
      <c r="B132" s="37" t="inlineStr">
        <is>
          <t>위닝 콘텐츠 2차 활용</t>
        </is>
      </c>
      <c r="C132" s="10" t="inlineStr">
        <is>
          <t>무상</t>
        </is>
      </c>
      <c r="D132" s="12" t="inlineStr">
        <is>
          <t>시딩 콘텐츠 2차 활용 라이선스</t>
        </is>
      </c>
      <c r="N132" s="10" t="inlineStr">
        <is>
          <t>-</t>
        </is>
      </c>
      <c r="O132" s="10" t="inlineStr"/>
    </row>
    <row r="133">
      <c r="B133" s="38" t="inlineStr">
        <is>
          <t>※ 스프레이ai 솔루션은 본 견적 내 유상 항목으로 반영(할인가 1,015,000원/식). 그 외 솔루션은 대행 기간 무상 지원.</t>
        </is>
      </c>
    </row>
  </sheetData>
  <mergeCells count="37">
    <mergeCell ref="B11:D11"/>
    <mergeCell ref="B75:F75"/>
    <mergeCell ref="B126:O126"/>
    <mergeCell ref="D127:M127"/>
    <mergeCell ref="H12:K12"/>
    <mergeCell ref="D130:M130"/>
    <mergeCell ref="B90:O90"/>
    <mergeCell ref="B3:O3"/>
    <mergeCell ref="B121:F121"/>
    <mergeCell ref="B66:O66"/>
    <mergeCell ref="L11:O11"/>
    <mergeCell ref="B105:F105"/>
    <mergeCell ref="D132:M132"/>
    <mergeCell ref="D129:M129"/>
    <mergeCell ref="E11:G11"/>
    <mergeCell ref="B2:O2"/>
    <mergeCell ref="B48:O48"/>
    <mergeCell ref="B14:O14"/>
    <mergeCell ref="D128:M128"/>
    <mergeCell ref="B87:F87"/>
    <mergeCell ref="D131:M131"/>
    <mergeCell ref="B78:O78"/>
    <mergeCell ref="B10:O10"/>
    <mergeCell ref="L12:O12"/>
    <mergeCell ref="E12:G12"/>
    <mergeCell ref="B34:O34"/>
    <mergeCell ref="B108:O108"/>
    <mergeCell ref="B6:O8"/>
    <mergeCell ref="B30:F30"/>
    <mergeCell ref="H11:K11"/>
    <mergeCell ref="B133:O133"/>
    <mergeCell ref="B45:F45"/>
    <mergeCell ref="B5:O5"/>
    <mergeCell ref="B63:F63"/>
    <mergeCell ref="B123:F123"/>
    <mergeCell ref="B12:D12"/>
    <mergeCell ref="B36:O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E36"/>
  <sheetViews>
    <sheetView showGridLines="0" workbookViewId="0">
      <selection activeCell="A1" sqref="A1"/>
    </sheetView>
  </sheetViews>
  <sheetFormatPr baseColWidth="8" defaultRowHeight="15"/>
  <cols>
    <col width="2.5" customWidth="1" min="2" max="2"/>
    <col width="16" customWidth="1" min="3" max="3"/>
    <col width="2" customWidth="1" min="4" max="4"/>
    <col width="120" customWidth="1" min="5" max="5"/>
  </cols>
  <sheetData>
    <row r="3">
      <c r="C3" s="39" t="inlineStr">
        <is>
          <t>BAT  |  견적 제안서</t>
        </is>
      </c>
    </row>
    <row r="5">
      <c r="C5" s="40" t="inlineStr">
        <is>
          <t>· 프로젝트명</t>
        </is>
      </c>
      <c r="E5" s="41" t="inlineStr">
        <is>
          <t>올리브영 PB 올더베러 브랜드 빌딩 캠페인</t>
        </is>
      </c>
    </row>
    <row r="7">
      <c r="C7" s="40" t="inlineStr">
        <is>
          <t>· 집행 기간</t>
        </is>
      </c>
      <c r="E7" s="41" t="inlineStr">
        <is>
          <t>2026년 7월 1일 ~ 2026년 12월 31일 (6개월) · 인플루언서 시딩·바이럴 통합 운영</t>
        </is>
      </c>
    </row>
    <row r="9">
      <c r="C9" s="40" t="inlineStr">
        <is>
          <t>· 집행 내용</t>
        </is>
      </c>
      <c r="E9" s="41" t="inlineStr">
        <is>
          <t>① 인플루언서 시딩(나노·마이크로 코어) 중심 진성 UGC 대량 확산</t>
        </is>
      </c>
    </row>
    <row r="10">
      <c r="E10" s="41" t="inlineStr">
        <is>
          <t>② BATi 마이크로 앰배서더(10명×6회) 다회차 협업으로 고퀄리티 콘텐츠 지속 발행</t>
        </is>
      </c>
    </row>
    <row r="11">
      <c r="E11" s="41" t="inlineStr">
        <is>
          <t>③ 바이럴(챌린저스·커뮤니티·파워페이지) + EGC/Half EGC 신뢰 콘텐츠</t>
        </is>
      </c>
    </row>
    <row r="12">
      <c r="E12" s="41" t="inlineStr">
        <is>
          <t>④ 위닝 콘텐츠·시딩 자산을 올영세일 구매 전환으로 직접 연결</t>
        </is>
      </c>
    </row>
    <row r="14">
      <c r="C14" s="40" t="inlineStr">
        <is>
          <t>· 견적 요약</t>
        </is>
      </c>
      <c r="E14" s="41" t="inlineStr">
        <is>
          <t>· 총 견적 : KRW 250,000,000원 (VAT 별도)</t>
        </is>
      </c>
    </row>
    <row r="15">
      <c r="E15" s="41" t="inlineStr">
        <is>
          <t>· 할인 원고료(실집행) 138,350,000원 + 총 마크업(마진) 111,650,000원  ·  예상 마크업률 44.7%</t>
        </is>
      </c>
    </row>
    <row r="16">
      <c r="E16" s="41" t="inlineStr">
        <is>
          <t>· 목표 수량 : 크리에이터 시딩 422건 + BATi 60건 + EGC 120 · Half EGC 24 + 콘텐츠 제작 6 + 바이럴 10 + 솔루션 6</t>
        </is>
      </c>
    </row>
    <row r="18">
      <c r="C18" s="40" t="inlineStr">
        <is>
          <t>· A/C 견적 상세</t>
        </is>
      </c>
      <c r="E18" s="41" t="inlineStr">
        <is>
          <t>· 크리에이터 시딩 : 125,600,000원  (나노 160 · 마이크로 180 · 매크로 12 · KOL 30 · X 25 · 블로그 15)</t>
        </is>
      </c>
    </row>
    <row r="19">
      <c r="E19" s="41" t="inlineStr">
        <is>
          <t>· BATi 마이크로 앰배서더 : 21,000,000원  (10명 × 6회 = 60건 × 350,000원)</t>
        </is>
      </c>
    </row>
    <row r="20">
      <c r="E20" s="41" t="inlineStr">
        <is>
          <t>· 콘텐츠 EGC : 69,600,000원  (EGC 120 × 450,000 · Half EGC 24 × 650,000)</t>
        </is>
      </c>
    </row>
    <row r="21">
      <c r="E21" s="41" t="inlineStr">
        <is>
          <t>· 콘텐츠 제작(KV·영상·이미지) : 6,510,000원  (6식 × 1,085,000)</t>
        </is>
      </c>
    </row>
    <row r="22">
      <c r="E22" s="41" t="inlineStr">
        <is>
          <t>· 바이럴 : 21,200,000원  (파워페이지 6 · 커뮤니티 2 · 챌린저스 2)</t>
        </is>
      </c>
    </row>
    <row r="23">
      <c r="E23" s="41" t="inlineStr">
        <is>
          <t>· 스프레이ai 솔루션 : 6,090,000원  (6식 × 1,015,000)</t>
        </is>
      </c>
    </row>
    <row r="24">
      <c r="E24" s="41" t="inlineStr">
        <is>
          <t>· 총 합계 : 250,000,000원 (VAT 별도)</t>
        </is>
      </c>
    </row>
    <row r="26">
      <c r="C26" s="40" t="inlineStr">
        <is>
          <t>· 단가 안내</t>
        </is>
      </c>
      <c r="E26" s="41" t="inlineStr">
        <is>
          <t>· 나노 22.5만 / 마이크로 35만 / 매크로 80만 / BATi 35만 (정가 50만 → 할인 35만)</t>
        </is>
      </c>
    </row>
    <row r="27">
      <c r="E27" s="41" t="inlineStr">
        <is>
          <t>· EGC 45만 / Half EGC 65만 / 콘텐츠 제작 108.5만 · 마크업(마진)은 할인가 − 실집행 원고료</t>
        </is>
      </c>
    </row>
    <row r="29">
      <c r="C29" s="40" t="inlineStr">
        <is>
          <t>· BATi 안내</t>
        </is>
      </c>
      <c r="E29" s="41" t="inlineStr">
        <is>
          <t>· BAT 보유 우수 마이크로 인플루언서 실리드 풀 + 마이크로 MCN 모듈 기반 '마이크로 앰배서더' 6개월 다회차 협업</t>
        </is>
      </c>
    </row>
    <row r="30">
      <c r="E30" s="41" t="inlineStr">
        <is>
          <t>· 1명당 월 1회 이상(총 6회) 협업 · e.g. 일본 마이크로 인플루언서 SK-II 다회차 협업 사례</t>
        </is>
      </c>
    </row>
    <row r="32">
      <c r="C32" s="40" t="inlineStr">
        <is>
          <t>· 무상 지원</t>
        </is>
      </c>
      <c r="E32" s="41" t="inlineStr">
        <is>
          <t>· 고성과 리포트 대시보드 / 올리비아 AI 어시스턴트 / VOC 딥다이브 / Claude AI 심의 검수 / 월간 리포팅 / 위닝 2차 활용</t>
        </is>
      </c>
    </row>
    <row r="34">
      <c r="C34" s="40" t="inlineStr">
        <is>
          <t>· 특이사항</t>
        </is>
      </c>
      <c r="E34" s="41" t="inlineStr">
        <is>
          <t>· 시장 단가 변동 및 모집 기간에 따라 총 원고료는 소폭 변동될 수 있습니다.</t>
        </is>
      </c>
    </row>
    <row r="35">
      <c r="E35" s="41" t="inlineStr">
        <is>
          <t>· 인플루언서 섭외 &amp; 콘텐츠 업로드 &amp; 원고료 지급까지 BAT 담당 ※ 제품 발송은 올리브영 PB</t>
        </is>
      </c>
    </row>
    <row r="36">
      <c r="E36" s="41" t="inlineStr">
        <is>
          <t>· 항목별 상세는 '견적상세'(월별), 집행 일정은 '월별 액션플랜' 시트를 확인 바랍니다.</t>
        </is>
      </c>
    </row>
  </sheetData>
  <mergeCells count="1">
    <mergeCell ref="C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7" customWidth="1" min="3" max="3"/>
    <col width="9" customWidth="1" min="4" max="4"/>
    <col width="9" customWidth="1" min="5" max="5"/>
    <col width="7" customWidth="1" min="6" max="6"/>
    <col width="9" customWidth="1" min="7" max="7"/>
    <col width="9" customWidth="1" min="8" max="8"/>
    <col width="8" customWidth="1" min="9" max="9"/>
    <col width="14" customWidth="1" min="10" max="10"/>
  </cols>
  <sheetData>
    <row r="1">
      <c r="A1" s="42" t="inlineStr">
        <is>
          <t>월별 실행 타임라인 · 액션플랜</t>
        </is>
      </c>
    </row>
    <row r="3">
      <c r="A3" s="6" t="inlineStr">
        <is>
          <t>항목</t>
        </is>
      </c>
      <c r="B3" s="6" t="inlineStr">
        <is>
          <t>단가</t>
        </is>
      </c>
      <c r="C3" s="6" t="inlineStr">
        <is>
          <t>7월</t>
        </is>
      </c>
      <c r="D3" s="6" t="inlineStr">
        <is>
          <t>8월
세일사전</t>
        </is>
      </c>
      <c r="E3" s="6" t="inlineStr">
        <is>
          <t>9월
세일★</t>
        </is>
      </c>
      <c r="F3" s="6" t="inlineStr">
        <is>
          <t>10월</t>
        </is>
      </c>
      <c r="G3" s="6" t="inlineStr">
        <is>
          <t>11월
블프★</t>
        </is>
      </c>
      <c r="H3" s="6" t="inlineStr">
        <is>
          <t>12월
세일★</t>
        </is>
      </c>
      <c r="I3" s="6" t="inlineStr">
        <is>
          <t>합계</t>
        </is>
      </c>
      <c r="J3" s="6" t="inlineStr">
        <is>
          <t>금액</t>
        </is>
      </c>
    </row>
    <row r="4">
      <c r="A4" s="3" t="inlineStr">
        <is>
          <t>■ 크리에이터 시딩</t>
        </is>
      </c>
    </row>
    <row r="5">
      <c r="A5" s="43" t="inlineStr">
        <is>
          <t>나노</t>
        </is>
      </c>
      <c r="B5" s="44" t="n">
        <v>225000</v>
      </c>
      <c r="C5" s="10" t="n">
        <v>19</v>
      </c>
      <c r="D5" s="10" t="n">
        <v>38</v>
      </c>
      <c r="E5" s="10" t="n">
        <v>22</v>
      </c>
      <c r="F5" s="10" t="n">
        <v>19</v>
      </c>
      <c r="G5" s="10" t="n">
        <v>26</v>
      </c>
      <c r="H5" s="10" t="n">
        <v>36</v>
      </c>
      <c r="I5" s="15">
        <f>SUM(C5:H5)</f>
        <v/>
      </c>
      <c r="J5" s="20">
        <f>I5*B5</f>
        <v/>
      </c>
    </row>
    <row r="6">
      <c r="A6" s="43" t="inlineStr">
        <is>
          <t>마이크로 (UGC)</t>
        </is>
      </c>
      <c r="B6" s="44" t="n">
        <v>350000</v>
      </c>
      <c r="C6" s="10" t="n">
        <v>22</v>
      </c>
      <c r="D6" s="10" t="n">
        <v>43</v>
      </c>
      <c r="E6" s="10" t="n">
        <v>26</v>
      </c>
      <c r="F6" s="10" t="n">
        <v>22</v>
      </c>
      <c r="G6" s="10" t="n">
        <v>30</v>
      </c>
      <c r="H6" s="10" t="n">
        <v>37</v>
      </c>
      <c r="I6" s="15">
        <f>SUM(C6:H6)</f>
        <v/>
      </c>
      <c r="J6" s="20">
        <f>I6*B6</f>
        <v/>
      </c>
    </row>
    <row r="7">
      <c r="A7" s="43" t="inlineStr">
        <is>
          <t>매크로</t>
        </is>
      </c>
      <c r="B7" s="44" t="n">
        <v>800000</v>
      </c>
      <c r="C7" s="10" t="inlineStr">
        <is>
          <t>-</t>
        </is>
      </c>
      <c r="D7" s="10" t="n">
        <v>4</v>
      </c>
      <c r="E7" s="10" t="inlineStr">
        <is>
          <t>-</t>
        </is>
      </c>
      <c r="F7" s="10" t="inlineStr">
        <is>
          <t>-</t>
        </is>
      </c>
      <c r="G7" s="10" t="n">
        <v>4</v>
      </c>
      <c r="H7" s="10" t="n">
        <v>4</v>
      </c>
      <c r="I7" s="15">
        <f>SUM(C7:H7)</f>
        <v/>
      </c>
      <c r="J7" s="20">
        <f>I7*B7</f>
        <v/>
      </c>
    </row>
    <row r="8">
      <c r="A8" s="43" t="inlineStr">
        <is>
          <t>KOL 무가시딩</t>
        </is>
      </c>
      <c r="B8" s="44" t="n">
        <v>50000</v>
      </c>
      <c r="C8" s="10" t="n">
        <v>5</v>
      </c>
      <c r="D8" s="10" t="n">
        <v>5</v>
      </c>
      <c r="E8" s="10" t="n">
        <v>5</v>
      </c>
      <c r="F8" s="10" t="n">
        <v>5</v>
      </c>
      <c r="G8" s="10" t="n">
        <v>5</v>
      </c>
      <c r="H8" s="10" t="n">
        <v>5</v>
      </c>
      <c r="I8" s="15">
        <f>SUM(C8:H8)</f>
        <v/>
      </c>
      <c r="J8" s="20">
        <f>I8*B8</f>
        <v/>
      </c>
    </row>
    <row r="9">
      <c r="A9" s="43" t="inlineStr">
        <is>
          <t>X (트위터) 시딩</t>
        </is>
      </c>
      <c r="B9" s="44" t="n">
        <v>500000</v>
      </c>
      <c r="C9" s="10" t="inlineStr">
        <is>
          <t>-</t>
        </is>
      </c>
      <c r="D9" s="10" t="n">
        <v>8</v>
      </c>
      <c r="E9" s="10" t="inlineStr">
        <is>
          <t>-</t>
        </is>
      </c>
      <c r="F9" s="10" t="inlineStr">
        <is>
          <t>-</t>
        </is>
      </c>
      <c r="G9" s="10" t="n">
        <v>8</v>
      </c>
      <c r="H9" s="10" t="n">
        <v>9</v>
      </c>
      <c r="I9" s="15">
        <f>SUM(C9:H9)</f>
        <v/>
      </c>
      <c r="J9" s="20">
        <f>I9*B9</f>
        <v/>
      </c>
    </row>
    <row r="10">
      <c r="A10" s="43" t="inlineStr">
        <is>
          <t>네이버 블로그</t>
        </is>
      </c>
      <c r="B10" s="44" t="n">
        <v>200000</v>
      </c>
      <c r="C10" s="10" t="inlineStr">
        <is>
          <t>-</t>
        </is>
      </c>
      <c r="D10" s="10" t="n">
        <v>5</v>
      </c>
      <c r="E10" s="10" t="inlineStr">
        <is>
          <t>-</t>
        </is>
      </c>
      <c r="F10" s="10" t="inlineStr">
        <is>
          <t>-</t>
        </is>
      </c>
      <c r="G10" s="10" t="n">
        <v>5</v>
      </c>
      <c r="H10" s="10" t="n">
        <v>5</v>
      </c>
      <c r="I10" s="15">
        <f>SUM(C10:H10)</f>
        <v/>
      </c>
      <c r="J10" s="20">
        <f>I10*B10</f>
        <v/>
      </c>
    </row>
    <row r="11">
      <c r="A11" s="3" t="inlineStr">
        <is>
          <t>■ BATi 앰배서더</t>
        </is>
      </c>
    </row>
    <row r="12">
      <c r="A12" s="43" t="inlineStr">
        <is>
          <t>BATi 마이크로 앰배서더</t>
        </is>
      </c>
      <c r="B12" s="44" t="n">
        <v>350000</v>
      </c>
      <c r="C12" s="10" t="n">
        <v>10</v>
      </c>
      <c r="D12" s="10" t="n">
        <v>10</v>
      </c>
      <c r="E12" s="10" t="n">
        <v>10</v>
      </c>
      <c r="F12" s="10" t="n">
        <v>10</v>
      </c>
      <c r="G12" s="10" t="n">
        <v>10</v>
      </c>
      <c r="H12" s="10" t="n">
        <v>10</v>
      </c>
      <c r="I12" s="15">
        <f>SUM(C12:H12)</f>
        <v/>
      </c>
      <c r="J12" s="20">
        <f>I12*B12</f>
        <v/>
      </c>
    </row>
    <row r="13">
      <c r="A13" s="3" t="inlineStr">
        <is>
          <t>■ 콘텐츠</t>
        </is>
      </c>
    </row>
    <row r="14">
      <c r="A14" s="43" t="inlineStr">
        <is>
          <t>EGC 콘텐츠</t>
        </is>
      </c>
      <c r="B14" s="44" t="n">
        <v>450000</v>
      </c>
      <c r="C14" s="10" t="n">
        <v>20</v>
      </c>
      <c r="D14" s="10" t="n">
        <v>20</v>
      </c>
      <c r="E14" s="10" t="n">
        <v>20</v>
      </c>
      <c r="F14" s="10" t="n">
        <v>20</v>
      </c>
      <c r="G14" s="10" t="n">
        <v>20</v>
      </c>
      <c r="H14" s="10" t="n">
        <v>20</v>
      </c>
      <c r="I14" s="15">
        <f>SUM(C14:H14)</f>
        <v/>
      </c>
      <c r="J14" s="20">
        <f>I14*B14</f>
        <v/>
      </c>
    </row>
    <row r="15">
      <c r="A15" s="43" t="inlineStr">
        <is>
          <t>Half EGC 콘텐츠</t>
        </is>
      </c>
      <c r="B15" s="44" t="n">
        <v>650000</v>
      </c>
      <c r="C15" s="10" t="n">
        <v>4</v>
      </c>
      <c r="D15" s="10" t="n">
        <v>4</v>
      </c>
      <c r="E15" s="10" t="n">
        <v>4</v>
      </c>
      <c r="F15" s="10" t="n">
        <v>4</v>
      </c>
      <c r="G15" s="10" t="n">
        <v>4</v>
      </c>
      <c r="H15" s="10" t="n">
        <v>4</v>
      </c>
      <c r="I15" s="15">
        <f>SUM(C15:H15)</f>
        <v/>
      </c>
      <c r="J15" s="20">
        <f>I15*B15</f>
        <v/>
      </c>
    </row>
    <row r="16">
      <c r="A16" s="43" t="inlineStr">
        <is>
          <t>콘텐츠 제작 (KV·영상·이미지)</t>
        </is>
      </c>
      <c r="B16" s="44" t="n">
        <v>1085000</v>
      </c>
      <c r="C16" s="10" t="n">
        <v>1</v>
      </c>
      <c r="D16" s="10" t="n">
        <v>1</v>
      </c>
      <c r="E16" s="10" t="n">
        <v>1</v>
      </c>
      <c r="F16" s="10" t="n">
        <v>1</v>
      </c>
      <c r="G16" s="10" t="n">
        <v>1</v>
      </c>
      <c r="H16" s="10" t="n">
        <v>1</v>
      </c>
      <c r="I16" s="15">
        <f>SUM(C16:H16)</f>
        <v/>
      </c>
      <c r="J16" s="20">
        <f>I16*B16</f>
        <v/>
      </c>
    </row>
    <row r="17">
      <c r="A17" s="3" t="inlineStr">
        <is>
          <t>■ 바이럴 · 전환</t>
        </is>
      </c>
    </row>
    <row r="18">
      <c r="A18" s="43" t="inlineStr">
        <is>
          <t>파워페이지</t>
        </is>
      </c>
      <c r="B18" s="44" t="n">
        <v>700000</v>
      </c>
      <c r="C18" s="10" t="inlineStr">
        <is>
          <t>-</t>
        </is>
      </c>
      <c r="D18" s="10" t="n">
        <v>2</v>
      </c>
      <c r="E18" s="10" t="inlineStr">
        <is>
          <t>-</t>
        </is>
      </c>
      <c r="F18" s="10" t="inlineStr">
        <is>
          <t>-</t>
        </is>
      </c>
      <c r="G18" s="10" t="n">
        <v>2</v>
      </c>
      <c r="H18" s="10" t="n">
        <v>2</v>
      </c>
      <c r="I18" s="15">
        <f>SUM(C18:H18)</f>
        <v/>
      </c>
      <c r="J18" s="20">
        <f>I18*B18</f>
        <v/>
      </c>
    </row>
    <row r="19">
      <c r="A19" s="43" t="inlineStr">
        <is>
          <t>커뮤니티 체험단</t>
        </is>
      </c>
      <c r="B19" s="44" t="n">
        <v>4000000</v>
      </c>
      <c r="C19" s="10" t="inlineStr">
        <is>
          <t>-</t>
        </is>
      </c>
      <c r="D19" s="10" t="n">
        <v>1</v>
      </c>
      <c r="E19" s="10" t="inlineStr">
        <is>
          <t>-</t>
        </is>
      </c>
      <c r="F19" s="10" t="inlineStr">
        <is>
          <t>-</t>
        </is>
      </c>
      <c r="G19" s="10" t="n">
        <v>1</v>
      </c>
      <c r="H19" s="10" t="inlineStr">
        <is>
          <t>-</t>
        </is>
      </c>
      <c r="I19" s="15">
        <f>SUM(C19:H19)</f>
        <v/>
      </c>
      <c r="J19" s="20">
        <f>I19*B19</f>
        <v/>
      </c>
    </row>
    <row r="20">
      <c r="A20" s="43" t="inlineStr">
        <is>
          <t>챌린저스</t>
        </is>
      </c>
      <c r="B20" s="44" t="n">
        <v>4500000</v>
      </c>
      <c r="C20" s="10" t="inlineStr">
        <is>
          <t>-</t>
        </is>
      </c>
      <c r="D20" s="10" t="n">
        <v>1</v>
      </c>
      <c r="E20" s="10" t="inlineStr">
        <is>
          <t>-</t>
        </is>
      </c>
      <c r="F20" s="10" t="inlineStr">
        <is>
          <t>-</t>
        </is>
      </c>
      <c r="G20" s="10" t="n">
        <v>1</v>
      </c>
      <c r="H20" s="10" t="inlineStr">
        <is>
          <t>-</t>
        </is>
      </c>
      <c r="I20" s="15">
        <f>SUM(C20:H20)</f>
        <v/>
      </c>
      <c r="J20" s="20">
        <f>I20*B20</f>
        <v/>
      </c>
    </row>
    <row r="21">
      <c r="A21" s="3" t="inlineStr">
        <is>
          <t>■ 솔루션</t>
        </is>
      </c>
    </row>
    <row r="22">
      <c r="A22" s="43" t="inlineStr">
        <is>
          <t>스프레이ai 솔루션</t>
        </is>
      </c>
      <c r="B22" s="44" t="n">
        <v>1015000</v>
      </c>
      <c r="C22" s="10" t="n">
        <v>1</v>
      </c>
      <c r="D22" s="10" t="n">
        <v>1</v>
      </c>
      <c r="E22" s="10" t="n">
        <v>1</v>
      </c>
      <c r="F22" s="10" t="n">
        <v>1</v>
      </c>
      <c r="G22" s="10" t="n">
        <v>1</v>
      </c>
      <c r="H22" s="10" t="n">
        <v>1</v>
      </c>
      <c r="I22" s="15">
        <f>SUM(C22:H22)</f>
        <v/>
      </c>
      <c r="J22" s="20">
        <f>I22*B22</f>
        <v/>
      </c>
    </row>
    <row r="24">
      <c r="A24" s="22" t="inlineStr">
        <is>
          <t>총 견적 (할인가, VAT 별도)</t>
        </is>
      </c>
      <c r="B24" s="45" t="n"/>
      <c r="C24" s="45" t="n"/>
      <c r="D24" s="45" t="n"/>
      <c r="E24" s="45" t="n"/>
      <c r="F24" s="45" t="n"/>
      <c r="G24" s="45" t="n"/>
      <c r="H24" s="45" t="n"/>
      <c r="I24" s="46" t="n"/>
      <c r="J24" s="26">
        <f>J5+J6+J7+J8+J9+J10+J12+J14+J15+J16+J18+J19+J20+J22</f>
        <v/>
      </c>
    </row>
  </sheetData>
  <mergeCells count="6">
    <mergeCell ref="A17:J17"/>
    <mergeCell ref="A21:J21"/>
    <mergeCell ref="A4:J4"/>
    <mergeCell ref="A24:I24"/>
    <mergeCell ref="A13:J13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J25"/>
  <sheetViews>
    <sheetView showGridLines="0" workbookViewId="0">
      <selection activeCell="A1" sqref="A1"/>
    </sheetView>
  </sheetViews>
  <sheetFormatPr baseColWidth="8" defaultRowHeight="15"/>
  <cols>
    <col width="24" customWidth="1" min="3" max="3"/>
    <col width="12" customWidth="1" min="4" max="4"/>
    <col width="11" customWidth="1" min="5" max="5"/>
    <col width="11" customWidth="1" min="6" max="6"/>
    <col width="8" customWidth="1" min="7" max="7"/>
    <col width="14" customWidth="1" min="8" max="8"/>
    <col width="14" customWidth="1" min="9" max="9"/>
    <col width="9" customWidth="1" min="10" max="10"/>
  </cols>
  <sheetData>
    <row r="3">
      <c r="C3" s="6" t="inlineStr">
        <is>
          <t>항목</t>
        </is>
      </c>
      <c r="D3" s="6" t="inlineStr">
        <is>
          <t>할인가(단가)</t>
        </is>
      </c>
      <c r="E3" s="6" t="inlineStr">
        <is>
          <t>건당 실비</t>
        </is>
      </c>
      <c r="F3" s="6" t="inlineStr">
        <is>
          <t>건당 마진</t>
        </is>
      </c>
      <c r="G3" s="6" t="inlineStr">
        <is>
          <t>수량</t>
        </is>
      </c>
      <c r="H3" s="6" t="inlineStr">
        <is>
          <t>매출</t>
        </is>
      </c>
      <c r="I3" s="6" t="inlineStr">
        <is>
          <t>마진</t>
        </is>
      </c>
      <c r="J3" s="6" t="inlineStr">
        <is>
          <t>마진율</t>
        </is>
      </c>
    </row>
    <row r="4">
      <c r="C4" s="43" t="inlineStr">
        <is>
          <t>나노</t>
        </is>
      </c>
      <c r="D4" s="16" t="n">
        <v>225000</v>
      </c>
      <c r="E4" s="16" t="n">
        <v>150000</v>
      </c>
      <c r="F4" s="16">
        <f>D4-E4</f>
        <v/>
      </c>
      <c r="G4" s="15" t="n">
        <v>160</v>
      </c>
      <c r="H4" s="16">
        <f>D4*G4</f>
        <v/>
      </c>
      <c r="I4" s="47">
        <f>F4*G4</f>
        <v/>
      </c>
      <c r="J4" s="17">
        <f>IF(H4=0,0,I4/H4)</f>
        <v/>
      </c>
    </row>
    <row r="5">
      <c r="C5" s="43" t="inlineStr">
        <is>
          <t>마이크로 (UGC)</t>
        </is>
      </c>
      <c r="D5" s="16" t="n">
        <v>350000</v>
      </c>
      <c r="E5" s="16" t="n">
        <v>300000</v>
      </c>
      <c r="F5" s="16">
        <f>D5-E5</f>
        <v/>
      </c>
      <c r="G5" s="15" t="n">
        <v>180</v>
      </c>
      <c r="H5" s="16">
        <f>D5*G5</f>
        <v/>
      </c>
      <c r="I5" s="47">
        <f>F5*G5</f>
        <v/>
      </c>
      <c r="J5" s="17">
        <f>IF(H5=0,0,I5/H5)</f>
        <v/>
      </c>
    </row>
    <row r="6">
      <c r="C6" s="43" t="inlineStr">
        <is>
          <t>매크로</t>
        </is>
      </c>
      <c r="D6" s="16" t="n">
        <v>800000</v>
      </c>
      <c r="E6" s="16" t="n">
        <v>500000</v>
      </c>
      <c r="F6" s="16">
        <f>D6-E6</f>
        <v/>
      </c>
      <c r="G6" s="15" t="n">
        <v>12</v>
      </c>
      <c r="H6" s="16">
        <f>D6*G6</f>
        <v/>
      </c>
      <c r="I6" s="47">
        <f>F6*G6</f>
        <v/>
      </c>
      <c r="J6" s="17">
        <f>IF(H6=0,0,I6/H6)</f>
        <v/>
      </c>
    </row>
    <row r="7">
      <c r="C7" s="43" t="inlineStr">
        <is>
          <t>KOL 무가시딩</t>
        </is>
      </c>
      <c r="D7" s="16" t="n">
        <v>50000</v>
      </c>
      <c r="E7" s="16" t="n">
        <v>0</v>
      </c>
      <c r="F7" s="16">
        <f>D7-E7</f>
        <v/>
      </c>
      <c r="G7" s="15" t="n">
        <v>30</v>
      </c>
      <c r="H7" s="16">
        <f>D7*G7</f>
        <v/>
      </c>
      <c r="I7" s="47">
        <f>F7*G7</f>
        <v/>
      </c>
      <c r="J7" s="17">
        <f>IF(H7=0,0,I7/H7)</f>
        <v/>
      </c>
    </row>
    <row r="8">
      <c r="C8" s="43" t="inlineStr">
        <is>
          <t>X (트위터) 시딩</t>
        </is>
      </c>
      <c r="D8" s="16" t="n">
        <v>500000</v>
      </c>
      <c r="E8" s="16" t="n">
        <v>350000</v>
      </c>
      <c r="F8" s="16">
        <f>D8-E8</f>
        <v/>
      </c>
      <c r="G8" s="15" t="n">
        <v>25</v>
      </c>
      <c r="H8" s="16">
        <f>D8*G8</f>
        <v/>
      </c>
      <c r="I8" s="47">
        <f>F8*G8</f>
        <v/>
      </c>
      <c r="J8" s="17">
        <f>IF(H8=0,0,I8/H8)</f>
        <v/>
      </c>
    </row>
    <row r="9">
      <c r="C9" s="43" t="inlineStr">
        <is>
          <t>네이버 블로그</t>
        </is>
      </c>
      <c r="D9" s="16" t="n">
        <v>200000</v>
      </c>
      <c r="E9" s="16" t="n">
        <v>200000</v>
      </c>
      <c r="F9" s="16">
        <f>D9-E9</f>
        <v/>
      </c>
      <c r="G9" s="15" t="n">
        <v>15</v>
      </c>
      <c r="H9" s="16">
        <f>D9*G9</f>
        <v/>
      </c>
      <c r="I9" s="47">
        <f>F9*G9</f>
        <v/>
      </c>
      <c r="J9" s="17">
        <f>IF(H9=0,0,I9/H9)</f>
        <v/>
      </c>
    </row>
    <row r="10">
      <c r="C10" s="43" t="inlineStr">
        <is>
          <t>EGC 콘텐츠</t>
        </is>
      </c>
      <c r="D10" s="16" t="n">
        <v>450000</v>
      </c>
      <c r="E10" s="16" t="n">
        <v>0</v>
      </c>
      <c r="F10" s="16">
        <f>D10-E10</f>
        <v/>
      </c>
      <c r="G10" s="15" t="n">
        <v>120</v>
      </c>
      <c r="H10" s="16">
        <f>D10*G10</f>
        <v/>
      </c>
      <c r="I10" s="47">
        <f>F10*G10</f>
        <v/>
      </c>
      <c r="J10" s="17">
        <f>IF(H10=0,0,I10/H10)</f>
        <v/>
      </c>
    </row>
    <row r="11">
      <c r="C11" s="43" t="inlineStr">
        <is>
          <t>Half EGC 콘텐츠</t>
        </is>
      </c>
      <c r="D11" s="16" t="n">
        <v>650000</v>
      </c>
      <c r="E11" s="16" t="n">
        <v>250000</v>
      </c>
      <c r="F11" s="16">
        <f>D11-E11</f>
        <v/>
      </c>
      <c r="G11" s="15" t="n">
        <v>24</v>
      </c>
      <c r="H11" s="16">
        <f>D11*G11</f>
        <v/>
      </c>
      <c r="I11" s="47">
        <f>F11*G11</f>
        <v/>
      </c>
      <c r="J11" s="17">
        <f>IF(H11=0,0,I11/H11)</f>
        <v/>
      </c>
    </row>
    <row r="12">
      <c r="C12" s="43" t="inlineStr">
        <is>
          <t>콘텐츠 제작 (KV·영상·이미지)</t>
        </is>
      </c>
      <c r="D12" s="16" t="n">
        <v>1085000</v>
      </c>
      <c r="E12" s="16" t="n">
        <v>0</v>
      </c>
      <c r="F12" s="16">
        <f>D12-E12</f>
        <v/>
      </c>
      <c r="G12" s="15" t="n">
        <v>6</v>
      </c>
      <c r="H12" s="16">
        <f>D12*G12</f>
        <v/>
      </c>
      <c r="I12" s="47">
        <f>F12*G12</f>
        <v/>
      </c>
      <c r="J12" s="17">
        <f>IF(H12=0,0,I12/H12)</f>
        <v/>
      </c>
    </row>
    <row r="13">
      <c r="C13" s="43" t="inlineStr">
        <is>
          <t>파워페이지</t>
        </is>
      </c>
      <c r="D13" s="16" t="n">
        <v>700000</v>
      </c>
      <c r="E13" s="16" t="n">
        <v>600000</v>
      </c>
      <c r="F13" s="16">
        <f>D13-E13</f>
        <v/>
      </c>
      <c r="G13" s="15" t="n">
        <v>6</v>
      </c>
      <c r="H13" s="16">
        <f>D13*G13</f>
        <v/>
      </c>
      <c r="I13" s="47">
        <f>F13*G13</f>
        <v/>
      </c>
      <c r="J13" s="17">
        <f>IF(H13=0,0,I13/H13)</f>
        <v/>
      </c>
    </row>
    <row r="14">
      <c r="C14" s="43" t="inlineStr">
        <is>
          <t>커뮤니티 체험단</t>
        </is>
      </c>
      <c r="D14" s="16" t="n">
        <v>4000000</v>
      </c>
      <c r="E14" s="16" t="n">
        <v>4000000</v>
      </c>
      <c r="F14" s="16">
        <f>D14-E14</f>
        <v/>
      </c>
      <c r="G14" s="15" t="n">
        <v>2</v>
      </c>
      <c r="H14" s="16">
        <f>D14*G14</f>
        <v/>
      </c>
      <c r="I14" s="47">
        <f>F14*G14</f>
        <v/>
      </c>
      <c r="J14" s="17">
        <f>IF(H14=0,0,I14/H14)</f>
        <v/>
      </c>
    </row>
    <row r="15">
      <c r="C15" s="43" t="inlineStr">
        <is>
          <t>챌린저스</t>
        </is>
      </c>
      <c r="D15" s="16" t="n">
        <v>4500000</v>
      </c>
      <c r="E15" s="16" t="n">
        <v>3500000</v>
      </c>
      <c r="F15" s="16">
        <f>D15-E15</f>
        <v/>
      </c>
      <c r="G15" s="15" t="n">
        <v>2</v>
      </c>
      <c r="H15" s="16">
        <f>D15*G15</f>
        <v/>
      </c>
      <c r="I15" s="47">
        <f>F15*G15</f>
        <v/>
      </c>
      <c r="J15" s="17">
        <f>IF(H15=0,0,I15/H15)</f>
        <v/>
      </c>
    </row>
    <row r="16">
      <c r="C16" s="43" t="inlineStr">
        <is>
          <t>BATi 마이크로 앰배서더</t>
        </is>
      </c>
      <c r="D16" s="16" t="n">
        <v>350000</v>
      </c>
      <c r="E16" s="16" t="n">
        <v>300000</v>
      </c>
      <c r="F16" s="16">
        <f>D16-E16</f>
        <v/>
      </c>
      <c r="G16" s="15" t="n">
        <v>60</v>
      </c>
      <c r="H16" s="16">
        <f>D16*G16</f>
        <v/>
      </c>
      <c r="I16" s="47">
        <f>F16*G16</f>
        <v/>
      </c>
      <c r="J16" s="17">
        <f>IF(H16=0,0,I16/H16)</f>
        <v/>
      </c>
    </row>
    <row r="17">
      <c r="C17" s="43" t="inlineStr">
        <is>
          <t>스프레이ai 솔루션</t>
        </is>
      </c>
      <c r="D17" s="16" t="n">
        <v>1015000</v>
      </c>
      <c r="E17" s="16" t="n">
        <v>0</v>
      </c>
      <c r="F17" s="16">
        <f>D17-E17</f>
        <v/>
      </c>
      <c r="G17" s="15" t="n">
        <v>6</v>
      </c>
      <c r="H17" s="16">
        <f>D17*G17</f>
        <v/>
      </c>
      <c r="I17" s="47">
        <f>F17*G17</f>
        <v/>
      </c>
      <c r="J17" s="17">
        <f>IF(H17=0,0,I17/H17)</f>
        <v/>
      </c>
    </row>
    <row r="18">
      <c r="C18" s="22" t="inlineStr">
        <is>
          <t>합계</t>
        </is>
      </c>
      <c r="D18" s="27" t="inlineStr"/>
      <c r="E18" s="27" t="inlineStr"/>
      <c r="F18" s="27" t="inlineStr"/>
      <c r="G18" s="23">
        <f>SUM(G4:G17)</f>
        <v/>
      </c>
      <c r="H18" s="24">
        <f>SUM(H4:H17)</f>
        <v/>
      </c>
      <c r="I18" s="26">
        <f>SUM(I4:I17)</f>
        <v/>
      </c>
      <c r="J18" s="25">
        <f>I18/H18</f>
        <v/>
      </c>
    </row>
    <row r="20">
      <c r="C20" s="40" t="inlineStr">
        <is>
          <t>매출(총 견적)</t>
        </is>
      </c>
      <c r="E20" s="48">
        <f>H18</f>
        <v/>
      </c>
    </row>
    <row r="21">
      <c r="C21" s="40" t="inlineStr">
        <is>
          <t>총 실비</t>
        </is>
      </c>
      <c r="E21" s="48">
        <f>H18-I18</f>
        <v/>
      </c>
    </row>
    <row r="22">
      <c r="C22" s="40" t="inlineStr">
        <is>
          <t>총 마진(마크업)</t>
        </is>
      </c>
      <c r="E22" s="48">
        <f>I18</f>
        <v/>
      </c>
    </row>
    <row r="23">
      <c r="C23" s="40" t="inlineStr">
        <is>
          <t>블렌디드 마진율</t>
        </is>
      </c>
      <c r="E23" s="49">
        <f>I18/H18</f>
        <v/>
      </c>
    </row>
    <row r="25">
      <c r="C25" s="50" t="inlineStr">
        <is>
          <t>※ 본 시트는 내부 마진 확인용입니다(확인 후 삭제).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2026-06-18T14:30:49Z</dcterms:created>
  <dcterms:modified xmlns:dcterms="http://purl.org/dc/terms/" xmlns:xsi="http://www.w3.org/2001/XMLSchema-instance" xsi:type="dcterms:W3CDTF">2026-06-18T14:30:49Z</dcterms:modified>
</cp:coreProperties>
</file>