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제안" sheetId="1" state="visible" r:id="rId1"/>
    <sheet xmlns:r="http://schemas.openxmlformats.org/officeDocument/2006/relationships" name="견적상세" sheetId="2" state="visible" r:id="rId2"/>
    <sheet xmlns:r="http://schemas.openxmlformats.org/officeDocument/2006/relationships" name="월별 액션플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_-;-* #,##0_-;_-* &quot;-&quot;_-;_-@_-"/>
  </numFmts>
  <fonts count="14">
    <font>
      <name val="Calibri"/>
      <family val="2"/>
      <color theme="1"/>
      <sz val="11"/>
      <scheme val="minor"/>
    </font>
    <font>
      <name val="맑은 고딕"/>
      <b val="1"/>
      <color rgb="00262626"/>
      <sz val="18"/>
    </font>
    <font>
      <name val="맑은 고딕"/>
      <b val="1"/>
      <color rgb="00262626"/>
      <sz val="10"/>
    </font>
    <font>
      <name val="맑은 고딕"/>
      <color rgb="00262626"/>
      <sz val="10"/>
    </font>
    <font>
      <name val="맑은 고딕"/>
      <b val="1"/>
      <color rgb="00FF0000"/>
      <sz val="10"/>
    </font>
    <font>
      <name val="맑은 고딕"/>
      <b val="1"/>
      <color rgb="00808080"/>
      <sz val="9"/>
    </font>
    <font>
      <name val="맑은 고딕"/>
      <b val="1"/>
      <color rgb="00262626"/>
      <sz val="13"/>
    </font>
    <font>
      <name val="맑은 고딕"/>
      <color rgb="00808080"/>
      <sz val="9"/>
    </font>
    <font>
      <name val="맑은 고딕"/>
      <b val="1"/>
      <color rgb="00FFFFFF"/>
      <sz val="10"/>
    </font>
    <font>
      <name val="맑은 고딕"/>
      <b val="1"/>
      <color rgb="00082A08"/>
      <sz val="10"/>
    </font>
    <font>
      <name val="맑은 고딕"/>
      <color rgb="00262626"/>
      <sz val="9"/>
    </font>
    <font>
      <name val="맑은 고딕"/>
      <color rgb="00082A08"/>
      <sz val="9"/>
    </font>
    <font>
      <name val="맑은 고딕"/>
      <color rgb="00082A08"/>
      <sz val="10"/>
    </font>
    <font>
      <name val="맑은 고딕"/>
      <b val="1"/>
      <color rgb="00262626"/>
      <sz val="14"/>
    </font>
  </fonts>
  <fills count="9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404040"/>
      </patternFill>
    </fill>
    <fill>
      <patternFill patternType="solid">
        <fgColor rgb="0082DC28"/>
      </patternFill>
    </fill>
    <fill>
      <patternFill patternType="solid">
        <fgColor rgb="0062A81B"/>
      </patternFill>
    </fill>
    <fill>
      <patternFill patternType="solid">
        <fgColor rgb="00082A08"/>
      </patternFill>
    </fill>
    <fill>
      <patternFill patternType="solid">
        <fgColor rgb="00EAF3DA"/>
      </patternFill>
    </fill>
    <fill>
      <patternFill patternType="solid">
        <fgColor rgb="00D9D9D9"/>
      </patternFill>
    </fill>
  </fills>
  <borders count="17">
    <border>
      <left/>
      <right/>
      <top/>
      <bottom/>
      <diagonal/>
    </border>
    <border>
      <left style="hair">
        <color rgb="00D9D9D9"/>
      </left>
      <right style="hair">
        <color rgb="00D9D9D9"/>
      </right>
    </border>
    <border>
      <left style="thin">
        <color rgb="00808080"/>
      </left>
      <top style="thin">
        <color rgb="00808080"/>
      </top>
    </border>
    <border>
      <right style="thin">
        <color rgb="00808080"/>
      </right>
      <top style="thin">
        <color rgb="00808080"/>
      </top>
    </border>
    <border>
      <left style="thin">
        <color rgb="00808080"/>
      </left>
    </border>
    <border>
      <right style="thin">
        <color rgb="00808080"/>
      </right>
    </border>
    <border>
      <left style="thin">
        <color rgb="00808080"/>
      </left>
      <bottom style="thin">
        <color rgb="00808080"/>
      </bottom>
    </border>
    <border>
      <right style="thin">
        <color rgb="00808080"/>
      </right>
      <bottom style="thin">
        <color rgb="00808080"/>
      </bottom>
    </border>
    <border>
      <left style="hair">
        <color rgb="00D9D9D9"/>
      </left>
      <right style="hair">
        <color rgb="00D9D9D9"/>
      </right>
      <top style="thin">
        <color rgb="00808080"/>
      </top>
    </border>
    <border>
      <left style="hair">
        <color rgb="00D9D9D9"/>
      </left>
      <right style="hair">
        <color rgb="00D9D9D9"/>
      </right>
      <bottom style="thin">
        <color rgb="00808080"/>
      </bottom>
    </border>
    <border>
      <left/>
      <right/>
      <top style="thin">
        <color rgb="00808080"/>
      </top>
    </border>
    <border>
      <left/>
      <right/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2" pivotButton="0" quotePrefix="0" xfId="0"/>
    <xf numFmtId="0" fontId="5" fillId="2" borderId="8" applyAlignment="1" pivotButton="0" quotePrefix="0" xfId="0">
      <alignment horizontal="left" vertical="center"/>
    </xf>
    <xf numFmtId="0" fontId="0" fillId="2" borderId="10" pivotButton="0" quotePrefix="0" xfId="0"/>
    <xf numFmtId="0" fontId="0" fillId="2" borderId="3" pivotButton="0" quotePrefix="0" xfId="0"/>
    <xf numFmtId="0" fontId="0" fillId="2" borderId="4" pivotButton="0" quotePrefix="0" xfId="0"/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0" fillId="2" borderId="5" pivotButton="0" quotePrefix="0" xfId="0"/>
    <xf numFmtId="0" fontId="0" fillId="0" borderId="1" pivotButton="0" quotePrefix="0" xfId="0"/>
    <xf numFmtId="0" fontId="3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2" borderId="6" pivotButton="0" quotePrefix="0" xfId="0"/>
    <xf numFmtId="0" fontId="0" fillId="2" borderId="9" pivotButton="0" quotePrefix="0" xfId="0"/>
    <xf numFmtId="0" fontId="0" fillId="2" borderId="11" pivotButton="0" quotePrefix="0" xfId="0"/>
    <xf numFmtId="0" fontId="0" fillId="2" borderId="7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3" borderId="12" applyAlignment="1" pivotButton="0" quotePrefix="0" xfId="0">
      <alignment horizontal="center" vertical="center" wrapText="1"/>
    </xf>
    <xf numFmtId="0" fontId="2" fillId="4" borderId="12" applyAlignment="1" pivotButton="0" quotePrefix="0" xfId="0">
      <alignment horizontal="center" vertical="center" wrapText="1"/>
    </xf>
    <xf numFmtId="0" fontId="8" fillId="5" borderId="12" applyAlignment="1" pivotButton="0" quotePrefix="0" xfId="0">
      <alignment horizontal="center" vertical="center" wrapText="1"/>
    </xf>
    <xf numFmtId="0" fontId="8" fillId="6" borderId="12" applyAlignment="1" pivotButton="0" quotePrefix="0" xfId="0">
      <alignment horizontal="center" vertical="center" wrapText="1"/>
    </xf>
    <xf numFmtId="0" fontId="9" fillId="7" borderId="12" applyAlignment="1" pivotButton="0" quotePrefix="0" xfId="0">
      <alignment horizontal="left" vertical="center"/>
    </xf>
    <xf numFmtId="0" fontId="2" fillId="0" borderId="12" applyAlignment="1" pivotButton="0" quotePrefix="0" xfId="0">
      <alignment horizontal="left" vertical="center" wrapText="1"/>
    </xf>
    <xf numFmtId="0" fontId="3" fillId="0" borderId="12" applyAlignment="1" pivotButton="0" quotePrefix="0" xfId="0">
      <alignment horizontal="center" vertical="center"/>
    </xf>
    <xf numFmtId="0" fontId="10" fillId="0" borderId="12" applyAlignment="1" pivotButton="0" quotePrefix="0" xfId="0">
      <alignment horizontal="left" vertical="center" wrapText="1"/>
    </xf>
    <xf numFmtId="0" fontId="11" fillId="0" borderId="12" applyAlignment="1" pivotButton="0" quotePrefix="0" xfId="0">
      <alignment horizontal="left" vertical="center" wrapText="1"/>
    </xf>
    <xf numFmtId="0" fontId="2" fillId="0" borderId="12" applyAlignment="1" pivotButton="0" quotePrefix="0" xfId="0">
      <alignment horizontal="center" vertical="center"/>
    </xf>
    <xf numFmtId="164" fontId="3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0" fontId="2" fillId="4" borderId="12" applyAlignment="1" pivotButton="0" quotePrefix="0" xfId="0">
      <alignment horizontal="right" vertical="center"/>
    </xf>
    <xf numFmtId="0" fontId="2" fillId="4" borderId="12" applyAlignment="1" pivotButton="0" quotePrefix="0" xfId="0">
      <alignment horizontal="center" vertical="center"/>
    </xf>
    <xf numFmtId="0" fontId="3" fillId="4" borderId="12" applyAlignment="1" pivotButton="0" quotePrefix="0" xfId="0">
      <alignment horizontal="center" vertical="center"/>
    </xf>
    <xf numFmtId="164" fontId="2" fillId="4" borderId="12" applyAlignment="1" pivotButton="0" quotePrefix="0" xfId="0">
      <alignment horizontal="center" vertical="center"/>
    </xf>
    <xf numFmtId="164" fontId="12" fillId="0" borderId="12" applyAlignment="1" pivotButton="0" quotePrefix="0" xfId="0">
      <alignment horizontal="center" vertical="center"/>
    </xf>
    <xf numFmtId="0" fontId="8" fillId="3" borderId="12" applyAlignment="1" pivotButton="0" quotePrefix="0" xfId="0">
      <alignment horizontal="right" vertical="center"/>
    </xf>
    <xf numFmtId="0" fontId="3" fillId="3" borderId="12" applyAlignment="1" pivotButton="0" quotePrefix="0" xfId="0">
      <alignment horizontal="center" vertical="center"/>
    </xf>
    <xf numFmtId="164" fontId="8" fillId="3" borderId="12" applyAlignment="1" pivotButton="0" quotePrefix="0" xfId="0">
      <alignment horizontal="center" vertical="center"/>
    </xf>
    <xf numFmtId="164" fontId="8" fillId="6" borderId="12" applyAlignment="1" pivotButton="0" quotePrefix="0" xfId="0">
      <alignment horizontal="center" vertical="center"/>
    </xf>
    <xf numFmtId="0" fontId="2" fillId="0" borderId="12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4" fillId="0" borderId="12" applyAlignment="1" pivotButton="0" quotePrefix="0" xfId="0">
      <alignment horizontal="center" vertical="center"/>
    </xf>
    <xf numFmtId="164" fontId="9" fillId="0" borderId="1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2" fillId="8" borderId="12" applyAlignment="1" pivotButton="0" quotePrefix="0" xfId="0">
      <alignment horizontal="left" vertical="center"/>
    </xf>
    <xf numFmtId="0" fontId="3" fillId="8" borderId="12" applyAlignment="1" pivotButton="0" quotePrefix="0" xfId="0">
      <alignment horizontal="center" vertical="center"/>
    </xf>
    <xf numFmtId="0" fontId="3" fillId="0" borderId="12" applyAlignment="1" pivotButton="0" quotePrefix="0" xfId="0">
      <alignment horizontal="left" vertical="center"/>
    </xf>
    <xf numFmtId="0" fontId="2" fillId="8" borderId="1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7"/>
  <sheetViews>
    <sheetView workbookViewId="0">
      <selection activeCell="A1" sqref="A1"/>
    </sheetView>
  </sheetViews>
  <sheetFormatPr baseColWidth="8" defaultRowHeight="15"/>
  <cols>
    <col width="2.6" customWidth="1" min="1" max="1"/>
    <col width="5.8" customWidth="1" min="2" max="2"/>
    <col width="23.7" customWidth="1" min="3" max="3"/>
    <col width="3" customWidth="1" min="4" max="4"/>
    <col width="96" customWidth="1" min="5" max="5"/>
    <col width="5.8" customWidth="1" min="6" max="6"/>
  </cols>
  <sheetData>
    <row r="2" ht="10" customHeight="1">
      <c r="B2" s="1" t="n"/>
      <c r="C2" s="2" t="inlineStr">
        <is>
          <t>BAT  |  견적 제안서</t>
        </is>
      </c>
      <c r="D2" s="3" t="n"/>
      <c r="E2" s="3" t="n"/>
      <c r="F2" s="4" t="n"/>
    </row>
    <row r="3" ht="26" customHeight="1">
      <c r="B3" s="5" t="n"/>
      <c r="C3" s="6" t="inlineStr">
        <is>
          <t>· 프로젝트명</t>
        </is>
      </c>
      <c r="E3" s="7" t="inlineStr">
        <is>
          <t>올리브영 PB 올더베러 브랜드 빌딩 캠페인</t>
        </is>
      </c>
      <c r="F3" s="8" t="n"/>
    </row>
    <row r="4">
      <c r="B4" s="5" t="n"/>
      <c r="C4" s="9" t="n"/>
      <c r="F4" s="8" t="n"/>
    </row>
    <row r="5" ht="18" customHeight="1">
      <c r="B5" s="5" t="n"/>
      <c r="C5" s="6" t="inlineStr">
        <is>
          <t>· 집행 기간</t>
        </is>
      </c>
      <c r="E5" s="10" t="inlineStr">
        <is>
          <t>2026년 7월 1일 ~ 2026년 12월 31일 (6개월) · 인플루언서 시딩·바이럴 통합</t>
        </is>
      </c>
      <c r="F5" s="8" t="n"/>
    </row>
    <row r="6">
      <c r="B6" s="5" t="n"/>
      <c r="C6" s="9" t="n"/>
      <c r="F6" s="8" t="n"/>
    </row>
    <row r="7" ht="18" customHeight="1">
      <c r="B7" s="5" t="n"/>
      <c r="C7" s="6" t="inlineStr">
        <is>
          <t>· 집행 내용</t>
        </is>
      </c>
      <c r="E7" s="10" t="inlineStr">
        <is>
          <t>① 인플루언서 시딩(나노·마이크로 코어) 중심 진성 UGC 대량 확산 — ‘선택 증거’ 확보</t>
        </is>
      </c>
      <c r="F7" s="8" t="n"/>
    </row>
    <row r="8" ht="18" customHeight="1">
      <c r="B8" s="5" t="n"/>
      <c r="C8" s="9" t="n"/>
      <c r="E8" s="10" t="inlineStr">
        <is>
          <t>② 바이럴(커뮤니티·파워페이지·챌린저스·어필리에이트·GEO/AEO) — 구매 직전 ‘확신’·올영 랭킹 1위 견인</t>
        </is>
      </c>
      <c r="F8" s="8" t="n"/>
    </row>
    <row r="9" ht="18" customHeight="1">
      <c r="B9" s="5" t="n"/>
      <c r="C9" s="9" t="n"/>
      <c r="E9" s="10" t="inlineStr">
        <is>
          <t>③ 위닝 콘텐츠·시딩 자산을 올영세일 구매 전환으로 직접 연결</t>
        </is>
      </c>
      <c r="F9" s="8" t="n"/>
    </row>
    <row r="10">
      <c r="B10" s="5" t="n"/>
      <c r="C10" s="9" t="n"/>
      <c r="F10" s="8" t="n"/>
    </row>
    <row r="11" ht="18" customHeight="1">
      <c r="B11" s="5" t="n"/>
      <c r="C11" s="6" t="inlineStr">
        <is>
          <t>· 견적 상세</t>
        </is>
      </c>
      <c r="E11" s="10" t="inlineStr">
        <is>
          <t>· 총 견적 : KRW 249,450,000원 (VAT 별도)   ※ 마크업 포함, 2.5억 내</t>
        </is>
      </c>
      <c r="F11" s="8" t="n"/>
    </row>
    <row r="12" ht="18" customHeight="1">
      <c r="B12" s="5" t="n"/>
      <c r="C12" s="9" t="n"/>
      <c r="E12" s="10" t="inlineStr">
        <is>
          <t>· 크리에이터·집행 원고료 : 244,450,000원 / 예상 마크업 : 5,000,000원 (커뮤니티·챌린저스 한정 20%)</t>
        </is>
      </c>
      <c r="F12" s="8" t="n"/>
    </row>
    <row r="13" ht="18" customHeight="1">
      <c r="B13" s="5" t="n"/>
      <c r="C13" s="9" t="n"/>
      <c r="E13" s="10" t="inlineStr">
        <is>
          <t>· 목표 시딩 수량 : IG·TikTok·YT·Blog 등 총 499건 (+ EGC·Half EGC 18건)</t>
        </is>
      </c>
      <c r="F13" s="8" t="n"/>
    </row>
    <row r="14">
      <c r="B14" s="5" t="n"/>
      <c r="C14" s="9" t="n"/>
      <c r="F14" s="8" t="n"/>
    </row>
    <row r="15" ht="18" customHeight="1">
      <c r="B15" s="5" t="n"/>
      <c r="C15" s="6" t="inlineStr">
        <is>
          <t>· A/C 견적 상세</t>
        </is>
      </c>
      <c r="E15" s="11" t="inlineStr">
        <is>
          <t>· 크리에이터 시딩 : 177,750,000원  (마이크로 197 · 나노 197 · 매크로 15 · KOL 60 · X 15 · 블로그 15)</t>
        </is>
      </c>
      <c r="F15" s="8" t="n"/>
    </row>
    <row r="16" ht="18" customHeight="1">
      <c r="B16" s="5" t="n"/>
      <c r="C16" s="9" t="n"/>
      <c r="E16" s="11" t="inlineStr">
        <is>
          <t>· 콘텐츠 EGC : 19,500,000원  (EGC 12 × 100만 · Half EGC 6 × 125만)</t>
        </is>
      </c>
      <c r="F16" s="8" t="n"/>
    </row>
    <row r="17" ht="18" customHeight="1">
      <c r="B17" s="5" t="n"/>
      <c r="C17" s="9" t="n"/>
      <c r="E17" s="11" t="inlineStr">
        <is>
          <t>· 콘텐츠 제작(KV·영상·이미지) : 9,000,000원  (월 150만 × 6개월)</t>
        </is>
      </c>
      <c r="F17" s="8" t="n"/>
    </row>
    <row r="18" ht="18" customHeight="1">
      <c r="B18" s="5" t="n"/>
      <c r="C18" s="9" t="n"/>
      <c r="E18" s="11" t="inlineStr">
        <is>
          <t>· 콘텐츠·바이럴 : 38,200,000원  (파워페이지 9 · 커뮤니티 3 · 챌린저스 2회 · 어필리에이트 60)</t>
        </is>
      </c>
      <c r="F18" s="8" t="n"/>
    </row>
    <row r="19" ht="18" customHeight="1">
      <c r="B19" s="5" t="n"/>
      <c r="C19" s="9" t="n"/>
      <c r="E19" s="11" t="inlineStr">
        <is>
          <t>· 마크업 (커뮤니티·챌린저스 20%) : 5,000,000원</t>
        </is>
      </c>
      <c r="F19" s="8" t="n"/>
    </row>
    <row r="20" ht="26" customHeight="1">
      <c r="B20" s="5" t="n"/>
      <c r="C20" s="9" t="n"/>
      <c r="E20" s="12" t="inlineStr">
        <is>
          <t>· 총 합계 : 249,450,000원 (VAT 별도)</t>
        </is>
      </c>
      <c r="F20" s="8" t="n"/>
    </row>
    <row r="21">
      <c r="B21" s="5" t="n"/>
      <c r="C21" s="9" t="n"/>
      <c r="F21" s="8" t="n"/>
    </row>
    <row r="22" ht="18" customHeight="1">
      <c r="B22" s="5" t="n"/>
      <c r="C22" s="6" t="inlineStr">
        <is>
          <t>· 원고료/마크업 안내</t>
        </is>
      </c>
      <c r="E22" s="10" t="inlineStr">
        <is>
          <t>· 마크업은 ‘커뮤니티 체험단’·‘챌린저스’ 2개 항목에만 20% 적용</t>
        </is>
      </c>
      <c r="F22" s="8" t="n"/>
    </row>
    <row r="23" ht="18" customHeight="1">
      <c r="B23" s="5" t="n"/>
      <c r="C23" s="9" t="n"/>
      <c r="E23" s="10" t="inlineStr">
        <is>
          <t>· 나노 25만 / 마이크로 50만 / 매크로 80만 (IG·TikTok 동일 단가)</t>
        </is>
      </c>
      <c r="F23" s="8" t="n"/>
    </row>
    <row r="24" ht="18" customHeight="1">
      <c r="B24" s="5" t="n"/>
      <c r="C24" s="9" t="n"/>
      <c r="E24" s="10" t="inlineStr">
        <is>
          <t>· EGC = 마이크로 ×2(100만) / Half EGC = 마이크로 ×2.5(125만) · 콘텐츠 제작 월 150만</t>
        </is>
      </c>
      <c r="F24" s="8" t="n"/>
    </row>
    <row r="25">
      <c r="B25" s="5" t="n"/>
      <c r="C25" s="9" t="n"/>
      <c r="F25" s="8" t="n"/>
    </row>
    <row r="26" ht="18" customHeight="1">
      <c r="B26" s="5" t="n"/>
      <c r="C26" s="6" t="inlineStr">
        <is>
          <t>· 콘텐츠 제작 안내</t>
        </is>
      </c>
      <c r="E26" s="10" t="inlineStr">
        <is>
          <t>· 콘텐츠 제작(KV·디자인·영상·이미지 소재) 월 150만 × 6개월 별도 계상 · 마이크로·나노 5:5</t>
        </is>
      </c>
      <c r="F26" s="8" t="n"/>
    </row>
    <row r="27" ht="18" customHeight="1">
      <c r="B27" s="5" t="n"/>
      <c r="C27" s="9" t="n"/>
      <c r="E27" s="10" t="inlineStr">
        <is>
          <t>· UGC·EGC·Half EGC 영상은 시딩 원고료 내 제작·확보 · 퍼포먼스 항목 없음</t>
        </is>
      </c>
      <c r="F27" s="8" t="n"/>
    </row>
    <row r="28">
      <c r="B28" s="5" t="n"/>
      <c r="C28" s="9" t="n"/>
      <c r="F28" s="8" t="n"/>
    </row>
    <row r="29" ht="18" customHeight="1">
      <c r="B29" s="5" t="n"/>
      <c r="C29" s="6" t="inlineStr">
        <is>
          <t>· 무상 지원 내역</t>
        </is>
      </c>
      <c r="E29" s="10" t="inlineStr">
        <is>
          <t>· [대행 기간 솔루션 무상 지원] 대행 수행 시 2개 솔루션 이용료를 대행 종료시점까지 무상 지원 예정</t>
        </is>
      </c>
      <c r="F29" s="8" t="n"/>
    </row>
    <row r="30" ht="18" customHeight="1">
      <c r="B30" s="5" t="n"/>
      <c r="C30" s="9" t="n"/>
      <c r="E30" s="13" t="inlineStr">
        <is>
          <t>- 스프레이ai 솔루션 월 이용료 420만원(브랜드 1개 기준)  ※ 연간 5,040만원 상당</t>
        </is>
      </c>
      <c r="F30" s="8" t="n"/>
    </row>
    <row r="31" ht="18" customHeight="1">
      <c r="B31" s="5" t="n"/>
      <c r="C31" s="9" t="n"/>
      <c r="E31" s="10" t="inlineStr">
        <is>
          <t>- 피처링 스탠다드형 솔루션 (연간 이용료 378만원 상당)</t>
        </is>
      </c>
      <c r="F31" s="8" t="n"/>
    </row>
    <row r="32" ht="18" customHeight="1">
      <c r="B32" s="5" t="n"/>
      <c r="C32" s="9" t="n"/>
      <c r="E32" s="10" t="inlineStr">
        <is>
          <t>· 고성과 리포트 대시보드 / 올리비아 AI 어시스턴트 / VOC 딥다이브 / Claude AI 심의 검수 / 월간 리포팅</t>
        </is>
      </c>
      <c r="F32" s="8" t="n"/>
    </row>
    <row r="33">
      <c r="B33" s="5" t="n"/>
      <c r="C33" s="9" t="n"/>
      <c r="F33" s="8" t="n"/>
    </row>
    <row r="34" ht="18" customHeight="1">
      <c r="B34" s="5" t="n"/>
      <c r="C34" s="6" t="inlineStr">
        <is>
          <t>· 특이사항</t>
        </is>
      </c>
      <c r="E34" s="10" t="inlineStr">
        <is>
          <t>· 시장 단가 변동 및 모집 기간에 따라 총 원고료는 소폭 변동될 수 있습니다.</t>
        </is>
      </c>
      <c r="F34" s="8" t="n"/>
    </row>
    <row r="35" ht="18" customHeight="1">
      <c r="B35" s="5" t="n"/>
      <c r="C35" s="9" t="n"/>
      <c r="E35" s="10" t="inlineStr">
        <is>
          <t>· 항목별 상세는 ‘견적상세’(월별), 집행 일정은 ‘월별 액션플랜’ 시트를 확인 바랍니다.</t>
        </is>
      </c>
      <c r="F35" s="8" t="n"/>
    </row>
    <row r="36">
      <c r="B36" s="5" t="n"/>
      <c r="C36" s="9" t="n"/>
      <c r="F36" s="8" t="n"/>
    </row>
    <row r="37" ht="10" customHeight="1">
      <c r="B37" s="14" t="n"/>
      <c r="C37" s="15" t="n"/>
      <c r="D37" s="16" t="n"/>
      <c r="E37" s="16" t="n"/>
      <c r="F37" s="17" t="n"/>
    </row>
  </sheetData>
  <mergeCells count="7">
    <mergeCell ref="C7:C9"/>
    <mergeCell ref="C34:C35"/>
    <mergeCell ref="C15:C20"/>
    <mergeCell ref="C11:C13"/>
    <mergeCell ref="C29:C32"/>
    <mergeCell ref="C22:C24"/>
    <mergeCell ref="C26:C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36" customWidth="1" min="3" max="3"/>
    <col width="22" customWidth="1" min="4" max="4"/>
    <col width="22" customWidth="1" min="5" max="5"/>
    <col width="8" customWidth="1" min="6" max="6"/>
    <col width="11" customWidth="1" min="7" max="7"/>
    <col width="11" customWidth="1" min="8" max="8"/>
    <col width="13" customWidth="1" min="9" max="9"/>
  </cols>
  <sheetData>
    <row r="1">
      <c r="A1" s="18" t="inlineStr">
        <is>
          <t>올더베러 26년 하반기 견적 상세 — 월별 캠페인   (단위: 원 / VAT 별도)</t>
        </is>
      </c>
    </row>
    <row r="2">
      <c r="A2" s="19" t="inlineStr">
        <is>
          <t>※ Moonshot Rocket Launch · 마크업은 커뮤니티·챌린저스 항목에만 20% · 퍼포먼스 항목 없음 · 단가/금액은 월별 액션플랜과 동일</t>
        </is>
      </c>
    </row>
    <row r="4" ht="28" customHeight="1">
      <c r="A4" s="20" t="inlineStr">
        <is>
          <t>항목</t>
        </is>
      </c>
      <c r="B4" s="20" t="inlineStr">
        <is>
          <t>채널</t>
        </is>
      </c>
      <c r="C4" s="20" t="inlineStr">
        <is>
          <t>캠페인 및 활용 목적 / 앵글</t>
        </is>
      </c>
      <c r="D4" s="20" t="inlineStr">
        <is>
          <t>타겟 페르소나</t>
        </is>
      </c>
      <c r="E4" s="20" t="inlineStr">
        <is>
          <t>필수 해시태그</t>
        </is>
      </c>
      <c r="F4" s="21" t="inlineStr">
        <is>
          <t>목표수량</t>
        </is>
      </c>
      <c r="G4" s="22" t="inlineStr">
        <is>
          <t>단가</t>
        </is>
      </c>
      <c r="H4" s="22" t="inlineStr">
        <is>
          <t>마크업(20%)</t>
        </is>
      </c>
      <c r="I4" s="23" t="inlineStr">
        <is>
          <t>총비용</t>
        </is>
      </c>
    </row>
    <row r="5" ht="22" customHeight="1">
      <c r="A5" s="24" t="inlineStr">
        <is>
          <t xml:space="preserve">  ▣ 7월 · 착수 / 첫 점화 (Phase 1)   —   위닝 메시지 발굴 + 일반식품 시딩 도화선 점화 · 타겟: 웰니스 입문형</t>
        </is>
      </c>
    </row>
    <row r="6" ht="30" customHeight="1">
      <c r="A6" s="25" t="inlineStr">
        <is>
          <t>마이크로 (UGC)</t>
        </is>
      </c>
      <c r="B6" s="26" t="inlineStr">
        <is>
          <t>IG·TT</t>
        </is>
      </c>
      <c r="C6" s="27" t="inlineStr">
        <is>
          <t>멜라나잇(자기 전)·올리브오일(아침 공복) 위닝 메시지 LMF 테스트</t>
        </is>
      </c>
      <c r="D6" s="27" t="inlineStr">
        <is>
          <t>직장인 루틴형 2535</t>
        </is>
      </c>
      <c r="E6" s="28" t="inlineStr">
        <is>
          <t>#올더베러 #오늘도베러</t>
        </is>
      </c>
      <c r="F6" s="29" t="n">
        <v>24</v>
      </c>
      <c r="G6" s="30" t="n">
        <v>500000</v>
      </c>
      <c r="H6" s="30" t="n">
        <v>0</v>
      </c>
      <c r="I6" s="31">
        <f>G6*F6</f>
        <v/>
      </c>
    </row>
    <row r="7" ht="30" customHeight="1">
      <c r="A7" s="25" t="inlineStr">
        <is>
          <t>나노</t>
        </is>
      </c>
      <c r="B7" s="26" t="inlineStr">
        <is>
          <t>IG</t>
        </is>
      </c>
      <c r="C7" s="27" t="inlineStr">
        <is>
          <t>진성 후기 볼륨 착수 · #오늘도베러 해시태그 자산화</t>
        </is>
      </c>
      <c r="D7" s="27" t="inlineStr">
        <is>
          <t>웰니스 입문형 2030</t>
        </is>
      </c>
      <c r="E7" s="28" t="inlineStr">
        <is>
          <t>#올더베러 #오늘도베러 #웰니스입문</t>
        </is>
      </c>
      <c r="F7" s="29" t="n">
        <v>24</v>
      </c>
      <c r="G7" s="30" t="n">
        <v>250000</v>
      </c>
      <c r="H7" s="30" t="n">
        <v>0</v>
      </c>
      <c r="I7" s="31">
        <f>G7*F7</f>
        <v/>
      </c>
    </row>
    <row r="8" ht="30" customHeight="1">
      <c r="A8" s="25" t="inlineStr">
        <is>
          <t>KOL 무가시딩</t>
        </is>
      </c>
      <c r="B8" s="26" t="inlineStr">
        <is>
          <t>IG·YT</t>
        </is>
      </c>
      <c r="C8" s="27" t="inlineStr">
        <is>
          <t>웰니스 코어 KOL 관계 형성·자발 콘텐츠</t>
        </is>
      </c>
      <c r="D8" s="27" t="inlineStr">
        <is>
          <t>30대 웰니스 KOL</t>
        </is>
      </c>
      <c r="E8" s="28" t="inlineStr">
        <is>
          <t>#올더베러 #오늘도베러</t>
        </is>
      </c>
      <c r="F8" s="29" t="n">
        <v>10</v>
      </c>
      <c r="G8" s="30" t="n">
        <v>100000</v>
      </c>
      <c r="H8" s="30" t="n">
        <v>0</v>
      </c>
      <c r="I8" s="31">
        <f>G8*F8</f>
        <v/>
      </c>
    </row>
    <row r="9" ht="30" customHeight="1">
      <c r="A9" s="25" t="inlineStr">
        <is>
          <t>EGC 콘텐츠</t>
        </is>
      </c>
      <c r="B9" s="26" t="inlineStr">
        <is>
          <t>IG·TT</t>
        </is>
      </c>
      <c r="C9" s="27" t="inlineStr">
        <is>
          <t>직원 피셜 — 올리브오일 ‘이 스펙 이 가격’ 신뢰형</t>
        </is>
      </c>
      <c r="D9" s="27" t="inlineStr">
        <is>
          <t>정보 신뢰 구매고려층</t>
        </is>
      </c>
      <c r="E9" s="28" t="inlineStr">
        <is>
          <t>#올더베러 #직원피셜</t>
        </is>
      </c>
      <c r="F9" s="29" t="n">
        <v>2</v>
      </c>
      <c r="G9" s="30" t="n">
        <v>1000000</v>
      </c>
      <c r="H9" s="30" t="n">
        <v>0</v>
      </c>
      <c r="I9" s="31">
        <f>G9*F9</f>
        <v/>
      </c>
    </row>
    <row r="10" ht="30" customHeight="1">
      <c r="A10" s="25" t="inlineStr">
        <is>
          <t>Half EGC 콘텐츠</t>
        </is>
      </c>
      <c r="B10" s="26" t="inlineStr">
        <is>
          <t>IG·TT</t>
        </is>
      </c>
      <c r="C10" s="27" t="inlineStr">
        <is>
          <t>건기식 정보+공감 (루테인 모니터 앞 직장인)</t>
        </is>
      </c>
      <c r="D10" s="27" t="inlineStr">
        <is>
          <t>건기식 관심 직장인</t>
        </is>
      </c>
      <c r="E10" s="28" t="inlineStr">
        <is>
          <t>#올더베러 #웰니스루틴</t>
        </is>
      </c>
      <c r="F10" s="29" t="n">
        <v>1</v>
      </c>
      <c r="G10" s="30" t="n">
        <v>1250000</v>
      </c>
      <c r="H10" s="30" t="n">
        <v>0</v>
      </c>
      <c r="I10" s="31">
        <f>G10*F10</f>
        <v/>
      </c>
    </row>
    <row r="11" ht="30" customHeight="1">
      <c r="A11" s="25" t="inlineStr">
        <is>
          <t>어필리에이트</t>
        </is>
      </c>
      <c r="B11" s="26" t="inlineStr">
        <is>
          <t>올영 쇼핑 큐레이터</t>
        </is>
      </c>
      <c r="C11" s="27" t="inlineStr">
        <is>
          <t>올영 쇼핑 큐레이터 풀 구축·앱 내 동선 세팅</t>
        </is>
      </c>
      <c r="D11" s="27" t="inlineStr">
        <is>
          <t>세일즈 경험 크리에이터</t>
        </is>
      </c>
      <c r="E11" s="28" t="inlineStr">
        <is>
          <t>#올영세일 #장바구니</t>
        </is>
      </c>
      <c r="F11" s="29" t="n">
        <v>10</v>
      </c>
      <c r="G11" s="30" t="n">
        <v>100000</v>
      </c>
      <c r="H11" s="30" t="n">
        <v>0</v>
      </c>
      <c r="I11" s="31">
        <f>G11*F11</f>
        <v/>
      </c>
    </row>
    <row r="12" ht="30" customHeight="1">
      <c r="A12" s="25" t="inlineStr">
        <is>
          <t>콘텐츠 제작 (KV·영상·이미지)</t>
        </is>
      </c>
      <c r="B12" s="26" t="inlineStr">
        <is>
          <t>제작</t>
        </is>
      </c>
      <c r="C12" s="27" t="inlineStr">
        <is>
          <t>브랜드 KV·이미지·영상 기본 소재 제작</t>
        </is>
      </c>
      <c r="D12" s="27" t="inlineStr">
        <is>
          <t>—</t>
        </is>
      </c>
      <c r="E12" s="28" t="inlineStr">
        <is>
          <t>—</t>
        </is>
      </c>
      <c r="F12" s="29" t="n">
        <v>1</v>
      </c>
      <c r="G12" s="30" t="n">
        <v>1500000</v>
      </c>
      <c r="H12" s="30" t="n">
        <v>0</v>
      </c>
      <c r="I12" s="31">
        <f>G12*F12</f>
        <v/>
      </c>
    </row>
    <row r="13">
      <c r="A13" s="32" t="inlineStr">
        <is>
          <t>7월 소계</t>
        </is>
      </c>
      <c r="F13" s="33">
        <f>SUM(F6:F12)</f>
        <v/>
      </c>
      <c r="G13" s="34" t="inlineStr"/>
      <c r="H13" s="35">
        <f>SUM(H6:H12)</f>
        <v/>
      </c>
      <c r="I13" s="35">
        <f>SUM(I6:I12)</f>
        <v/>
      </c>
    </row>
    <row r="14" ht="22" customHeight="1">
      <c r="A14" s="24" t="inlineStr">
        <is>
          <t xml:space="preserve">  ▣ 8월 · 세일 사전 부스팅 (1차 웨이브)   —   올영세일 前 인지·각인 확산 + 선택 증거 확보 · 타겟: 입문형+루틴형</t>
        </is>
      </c>
    </row>
    <row r="15" ht="30" customHeight="1">
      <c r="A15" s="25" t="inlineStr">
        <is>
          <t>마이크로 (UGC)</t>
        </is>
      </c>
      <c r="B15" s="26" t="inlineStr">
        <is>
          <t>IG·TT</t>
        </is>
      </c>
      <c r="C15" s="27" t="inlineStr">
        <is>
          <t>위닝 메시지 대량 확산 — 세일 1주 전 집중</t>
        </is>
      </c>
      <c r="D15" s="27" t="inlineStr">
        <is>
          <t>직장인 루틴형 2535</t>
        </is>
      </c>
      <c r="E15" s="28" t="inlineStr">
        <is>
          <t>#올더베러 #오늘도베러</t>
        </is>
      </c>
      <c r="F15" s="29" t="n">
        <v>47</v>
      </c>
      <c r="G15" s="30" t="n">
        <v>500000</v>
      </c>
      <c r="H15" s="30" t="n">
        <v>0</v>
      </c>
      <c r="I15" s="31">
        <f>G15*F15</f>
        <v/>
      </c>
    </row>
    <row r="16" ht="30" customHeight="1">
      <c r="A16" s="25" t="inlineStr">
        <is>
          <t>나노</t>
        </is>
      </c>
      <c r="B16" s="26" t="inlineStr">
        <is>
          <t>IG</t>
        </is>
      </c>
      <c r="C16" s="27" t="inlineStr">
        <is>
          <t>다수 진성 후기로 ‘많이 보이는 제품’ 인식 형성</t>
        </is>
      </c>
      <c r="D16" s="27" t="inlineStr">
        <is>
          <t>웰니스 입문형 2030</t>
        </is>
      </c>
      <c r="E16" s="28" t="inlineStr">
        <is>
          <t>#올더베러 #오늘도베러 #웰니스입문</t>
        </is>
      </c>
      <c r="F16" s="29" t="n">
        <v>47</v>
      </c>
      <c r="G16" s="30" t="n">
        <v>250000</v>
      </c>
      <c r="H16" s="30" t="n">
        <v>0</v>
      </c>
      <c r="I16" s="31">
        <f>G16*F16</f>
        <v/>
      </c>
    </row>
    <row r="17" ht="30" customHeight="1">
      <c r="A17" s="25" t="inlineStr">
        <is>
          <t>매크로</t>
        </is>
      </c>
      <c r="B17" s="26" t="inlineStr">
        <is>
          <t>IG·TT·YT</t>
        </is>
      </c>
      <c r="C17" s="27" t="inlineStr">
        <is>
          <t>세일 대세감 점화·도달 확대</t>
        </is>
      </c>
      <c r="D17" s="27" t="inlineStr">
        <is>
          <t>헬시플레저 광역 4050+</t>
        </is>
      </c>
      <c r="E17" s="28" t="inlineStr">
        <is>
          <t>#올더베러 #올영세일</t>
        </is>
      </c>
      <c r="F17" s="29" t="n">
        <v>5</v>
      </c>
      <c r="G17" s="30" t="n">
        <v>800000</v>
      </c>
      <c r="H17" s="30" t="n">
        <v>0</v>
      </c>
      <c r="I17" s="31">
        <f>G17*F17</f>
        <v/>
      </c>
    </row>
    <row r="18" ht="30" customHeight="1">
      <c r="A18" s="25" t="inlineStr">
        <is>
          <t>KOL 무가시딩</t>
        </is>
      </c>
      <c r="B18" s="26" t="inlineStr">
        <is>
          <t>IG·YT</t>
        </is>
      </c>
      <c r="C18" s="27" t="inlineStr">
        <is>
          <t>오가닉 콘텐츠 확대</t>
        </is>
      </c>
      <c r="D18" s="27" t="inlineStr">
        <is>
          <t>30대 웰니스 KOL</t>
        </is>
      </c>
      <c r="E18" s="28" t="inlineStr">
        <is>
          <t>#올더베러 #오늘도베러</t>
        </is>
      </c>
      <c r="F18" s="29" t="n">
        <v>10</v>
      </c>
      <c r="G18" s="30" t="n">
        <v>100000</v>
      </c>
      <c r="H18" s="30" t="n">
        <v>0</v>
      </c>
      <c r="I18" s="31">
        <f>G18*F18</f>
        <v/>
      </c>
    </row>
    <row r="19" ht="30" customHeight="1">
      <c r="A19" s="25" t="inlineStr">
        <is>
          <t>X (트위터) 시딩</t>
        </is>
      </c>
      <c r="B19" s="26" t="inlineStr">
        <is>
          <t>X</t>
        </is>
      </c>
      <c r="C19" s="27" t="inlineStr">
        <is>
          <t>실시간 트렌드·밈 바이럴</t>
        </is>
      </c>
      <c r="D19" s="27" t="inlineStr">
        <is>
          <t>리뷰·밈 2030</t>
        </is>
      </c>
      <c r="E19" s="28" t="inlineStr">
        <is>
          <t>#올더베러 #올영템</t>
        </is>
      </c>
      <c r="F19" s="29" t="n">
        <v>5</v>
      </c>
      <c r="G19" s="30" t="n">
        <v>500000</v>
      </c>
      <c r="H19" s="30" t="n">
        <v>0</v>
      </c>
      <c r="I19" s="31">
        <f>G19*F19</f>
        <v/>
      </c>
    </row>
    <row r="20" ht="30" customHeight="1">
      <c r="A20" s="25" t="inlineStr">
        <is>
          <t>네이버 블로그</t>
        </is>
      </c>
      <c r="B20" s="26" t="inlineStr">
        <is>
          <t>Blog</t>
        </is>
      </c>
      <c r="C20" s="27" t="inlineStr">
        <is>
          <t>검색 후기·정보 탐색 상위 노출</t>
        </is>
      </c>
      <c r="D20" s="27" t="inlineStr">
        <is>
          <t>정보탐색 검색자</t>
        </is>
      </c>
      <c r="E20" s="28" t="inlineStr">
        <is>
          <t>#올더베러 #웰니스구미추천</t>
        </is>
      </c>
      <c r="F20" s="29" t="n">
        <v>5</v>
      </c>
      <c r="G20" s="30" t="n">
        <v>300000</v>
      </c>
      <c r="H20" s="30" t="n">
        <v>0</v>
      </c>
      <c r="I20" s="31">
        <f>G20*F20</f>
        <v/>
      </c>
    </row>
    <row r="21" ht="30" customHeight="1">
      <c r="A21" s="25" t="inlineStr">
        <is>
          <t>EGC 콘텐츠</t>
        </is>
      </c>
      <c r="B21" s="26" t="inlineStr">
        <is>
          <t>IG·TT</t>
        </is>
      </c>
      <c r="C21" s="27" t="inlineStr">
        <is>
          <t>제품 RTB 신뢰형 콘텐츠</t>
        </is>
      </c>
      <c r="D21" s="27" t="inlineStr">
        <is>
          <t>정보 신뢰 구매고려층</t>
        </is>
      </c>
      <c r="E21" s="28" t="inlineStr">
        <is>
          <t>#올더베러 #직원피셜</t>
        </is>
      </c>
      <c r="F21" s="29" t="n">
        <v>2</v>
      </c>
      <c r="G21" s="30" t="n">
        <v>1000000</v>
      </c>
      <c r="H21" s="30" t="n">
        <v>0</v>
      </c>
      <c r="I21" s="31">
        <f>G21*F21</f>
        <v/>
      </c>
    </row>
    <row r="22" ht="30" customHeight="1">
      <c r="A22" s="25" t="inlineStr">
        <is>
          <t>Half EGC 콘텐츠</t>
        </is>
      </c>
      <c r="B22" s="26" t="inlineStr">
        <is>
          <t>IG·TT</t>
        </is>
      </c>
      <c r="C22" s="27" t="inlineStr">
        <is>
          <t>건기식 인정 기능성 정보+공감</t>
        </is>
      </c>
      <c r="D22" s="27" t="inlineStr">
        <is>
          <t>건기식 관심 직장인</t>
        </is>
      </c>
      <c r="E22" s="28" t="inlineStr">
        <is>
          <t>#올더베러 #웰니스루틴</t>
        </is>
      </c>
      <c r="F22" s="29" t="n">
        <v>1</v>
      </c>
      <c r="G22" s="30" t="n">
        <v>1250000</v>
      </c>
      <c r="H22" s="30" t="n">
        <v>0</v>
      </c>
      <c r="I22" s="31">
        <f>G22*F22</f>
        <v/>
      </c>
    </row>
    <row r="23" ht="30" customHeight="1">
      <c r="A23" s="25" t="inlineStr">
        <is>
          <t>파워페이지</t>
        </is>
      </c>
      <c r="B23" s="26" t="inlineStr">
        <is>
          <t>SNS</t>
        </is>
      </c>
      <c r="C23" s="27" t="inlineStr">
        <is>
          <t>‘추천템’ 맥락·정보성 노출</t>
        </is>
      </c>
      <c r="D23" s="27" t="inlineStr">
        <is>
          <t>구매 고의도 검색자</t>
        </is>
      </c>
      <c r="E23" s="28" t="inlineStr">
        <is>
          <t>#올영추천템 #웰니스추천</t>
        </is>
      </c>
      <c r="F23" s="29" t="n">
        <v>3</v>
      </c>
      <c r="G23" s="30" t="n">
        <v>800000</v>
      </c>
      <c r="H23" s="30" t="n">
        <v>0</v>
      </c>
      <c r="I23" s="31">
        <f>G23*F23</f>
        <v/>
      </c>
    </row>
    <row r="24" ht="30" customHeight="1">
      <c r="A24" s="25" t="inlineStr">
        <is>
          <t>커뮤니티 체험단</t>
        </is>
      </c>
      <c r="B24" s="26" t="inlineStr">
        <is>
          <t>뷰티앱·커뮤니티</t>
        </is>
      </c>
      <c r="C24" s="27" t="inlineStr">
        <is>
          <t>체험단·어워드로 ‘검증된 후기’ 볼륨</t>
        </is>
      </c>
      <c r="D24" s="27" t="inlineStr">
        <is>
          <t>카테고리 관여 高 사용자</t>
        </is>
      </c>
      <c r="E24" s="28" t="inlineStr">
        <is>
          <t>#올리브영 #웰니스어워드</t>
        </is>
      </c>
      <c r="F24" s="29" t="n">
        <v>1</v>
      </c>
      <c r="G24" s="30" t="n">
        <v>5000000</v>
      </c>
      <c r="H24" s="36">
        <f>G24*F24*0.2</f>
        <v/>
      </c>
      <c r="I24" s="31">
        <f>G24*F24*1.2</f>
        <v/>
      </c>
    </row>
    <row r="25" ht="30" customHeight="1">
      <c r="A25" s="25" t="inlineStr">
        <is>
          <t>챌린저스</t>
        </is>
      </c>
      <c r="B25" s="26" t="inlineStr">
        <is>
          <t>챌린저스 앱</t>
        </is>
      </c>
      <c r="C25" s="27" t="inlineStr">
        <is>
          <t>구매·리뷰 인증 챌린지 가동(랭킹 빌드업)</t>
        </is>
      </c>
      <c r="D25" s="27" t="inlineStr">
        <is>
          <t>올영 액티브 유저</t>
        </is>
      </c>
      <c r="E25" s="28" t="inlineStr">
        <is>
          <t>#올영1위 #올더베러챌린지</t>
        </is>
      </c>
      <c r="F25" s="29" t="n">
        <v>1</v>
      </c>
      <c r="G25" s="30" t="n">
        <v>5000000</v>
      </c>
      <c r="H25" s="36">
        <f>G25*F25*0.2</f>
        <v/>
      </c>
      <c r="I25" s="31">
        <f>G25*F25*1.2</f>
        <v/>
      </c>
    </row>
    <row r="26" ht="30" customHeight="1">
      <c r="A26" s="25" t="inlineStr">
        <is>
          <t>어필리에이트</t>
        </is>
      </c>
      <c r="B26" s="26" t="inlineStr">
        <is>
          <t>올영 쇼핑 큐레이터</t>
        </is>
      </c>
      <c r="C26" s="27" t="inlineStr">
        <is>
          <t>앱 내 발견→구매 동선 확대</t>
        </is>
      </c>
      <c r="D26" s="27" t="inlineStr">
        <is>
          <t>세일즈 경험 크리에이터</t>
        </is>
      </c>
      <c r="E26" s="28" t="inlineStr">
        <is>
          <t>#올영세일 #장바구니</t>
        </is>
      </c>
      <c r="F26" s="29" t="n">
        <v>10</v>
      </c>
      <c r="G26" s="30" t="n">
        <v>100000</v>
      </c>
      <c r="H26" s="30" t="n">
        <v>0</v>
      </c>
      <c r="I26" s="31">
        <f>G26*F26</f>
        <v/>
      </c>
    </row>
    <row r="27" ht="30" customHeight="1">
      <c r="A27" s="25" t="inlineStr">
        <is>
          <t>콘텐츠 제작 (KV·영상·이미지)</t>
        </is>
      </c>
      <c r="B27" s="26" t="inlineStr">
        <is>
          <t>제작</t>
        </is>
      </c>
      <c r="C27" s="27" t="inlineStr">
        <is>
          <t>세일 소재·B&amp;A 컷 제작</t>
        </is>
      </c>
      <c r="D27" s="27" t="inlineStr">
        <is>
          <t>—</t>
        </is>
      </c>
      <c r="E27" s="28" t="inlineStr">
        <is>
          <t>—</t>
        </is>
      </c>
      <c r="F27" s="29" t="n">
        <v>1</v>
      </c>
      <c r="G27" s="30" t="n">
        <v>1500000</v>
      </c>
      <c r="H27" s="30" t="n">
        <v>0</v>
      </c>
      <c r="I27" s="31">
        <f>G27*F27</f>
        <v/>
      </c>
    </row>
    <row r="28">
      <c r="A28" s="32" t="inlineStr">
        <is>
          <t>8월 소계</t>
        </is>
      </c>
      <c r="F28" s="33">
        <f>SUM(F15:F27)</f>
        <v/>
      </c>
      <c r="G28" s="34" t="inlineStr"/>
      <c r="H28" s="35">
        <f>SUM(H15:H27)</f>
        <v/>
      </c>
      <c r="I28" s="35">
        <f>SUM(I15:I27)</f>
        <v/>
      </c>
    </row>
    <row r="29" ht="22" customHeight="1">
      <c r="A29" s="24" t="inlineStr">
        <is>
          <t xml:space="preserve">  ▣ 9월 · 올영세일 1차 피크   —   확보한 증거로 구매 전환 + 카테고리 랭킹 상단 · 타겟: 실질 전환형</t>
        </is>
      </c>
    </row>
    <row r="30" ht="30" customHeight="1">
      <c r="A30" s="25" t="inlineStr">
        <is>
          <t>마이크로 (UGC)</t>
        </is>
      </c>
      <c r="B30" s="26" t="inlineStr">
        <is>
          <t>IG·TT</t>
        </is>
      </c>
      <c r="C30" s="27" t="inlineStr">
        <is>
          <t>세일 전환 소구 + ‘올영 1위’ 랭킹 결합 소재</t>
        </is>
      </c>
      <c r="D30" s="27" t="inlineStr">
        <is>
          <t>직장인 루틴형 2535</t>
        </is>
      </c>
      <c r="E30" s="28" t="inlineStr">
        <is>
          <t>#올더베러 #오늘도베러</t>
        </is>
      </c>
      <c r="F30" s="29" t="n">
        <v>28</v>
      </c>
      <c r="G30" s="30" t="n">
        <v>500000</v>
      </c>
      <c r="H30" s="30" t="n">
        <v>0</v>
      </c>
      <c r="I30" s="31">
        <f>G30*F30</f>
        <v/>
      </c>
    </row>
    <row r="31" ht="30" customHeight="1">
      <c r="A31" s="25" t="inlineStr">
        <is>
          <t>나노</t>
        </is>
      </c>
      <c r="B31" s="26" t="inlineStr">
        <is>
          <t>IG</t>
        </is>
      </c>
      <c r="C31" s="27" t="inlineStr">
        <is>
          <t>구매 인증·리뷰 볼륨 집중</t>
        </is>
      </c>
      <c r="D31" s="27" t="inlineStr">
        <is>
          <t>웰니스 입문형 2030</t>
        </is>
      </c>
      <c r="E31" s="28" t="inlineStr">
        <is>
          <t>#올더베러 #오늘도베러 #웰니스입문</t>
        </is>
      </c>
      <c r="F31" s="29" t="n">
        <v>28</v>
      </c>
      <c r="G31" s="30" t="n">
        <v>250000</v>
      </c>
      <c r="H31" s="30" t="n">
        <v>0</v>
      </c>
      <c r="I31" s="31">
        <f>G31*F31</f>
        <v/>
      </c>
    </row>
    <row r="32" ht="30" customHeight="1">
      <c r="A32" s="25" t="inlineStr">
        <is>
          <t>KOL 무가시딩</t>
        </is>
      </c>
      <c r="B32" s="26" t="inlineStr">
        <is>
          <t>IG·YT</t>
        </is>
      </c>
      <c r="C32" s="27" t="inlineStr">
        <is>
          <t>전환 시점 자발 후기</t>
        </is>
      </c>
      <c r="D32" s="27" t="inlineStr">
        <is>
          <t>30대 웰니스 KOL</t>
        </is>
      </c>
      <c r="E32" s="28" t="inlineStr">
        <is>
          <t>#올더베러 #오늘도베러</t>
        </is>
      </c>
      <c r="F32" s="29" t="n">
        <v>10</v>
      </c>
      <c r="G32" s="30" t="n">
        <v>100000</v>
      </c>
      <c r="H32" s="30" t="n">
        <v>0</v>
      </c>
      <c r="I32" s="31">
        <f>G32*F32</f>
        <v/>
      </c>
    </row>
    <row r="33" ht="30" customHeight="1">
      <c r="A33" s="25" t="inlineStr">
        <is>
          <t>EGC 콘텐츠</t>
        </is>
      </c>
      <c r="B33" s="26" t="inlineStr">
        <is>
          <t>IG·TT</t>
        </is>
      </c>
      <c r="C33" s="27" t="inlineStr">
        <is>
          <t>세일 클로징 신뢰 소재</t>
        </is>
      </c>
      <c r="D33" s="27" t="inlineStr">
        <is>
          <t>정보 신뢰 구매고려층</t>
        </is>
      </c>
      <c r="E33" s="28" t="inlineStr">
        <is>
          <t>#올더베러 #직원피셜</t>
        </is>
      </c>
      <c r="F33" s="29" t="n">
        <v>2</v>
      </c>
      <c r="G33" s="30" t="n">
        <v>1000000</v>
      </c>
      <c r="H33" s="30" t="n">
        <v>0</v>
      </c>
      <c r="I33" s="31">
        <f>G33*F33</f>
        <v/>
      </c>
    </row>
    <row r="34" ht="30" customHeight="1">
      <c r="A34" s="25" t="inlineStr">
        <is>
          <t>Half EGC 콘텐츠</t>
        </is>
      </c>
      <c r="B34" s="26" t="inlineStr">
        <is>
          <t>IG·TT</t>
        </is>
      </c>
      <c r="C34" s="27" t="inlineStr">
        <is>
          <t>건기식 전환 정보 콘텐츠</t>
        </is>
      </c>
      <c r="D34" s="27" t="inlineStr">
        <is>
          <t>건기식 관심 직장인</t>
        </is>
      </c>
      <c r="E34" s="28" t="inlineStr">
        <is>
          <t>#올더베러 #웰니스루틴</t>
        </is>
      </c>
      <c r="F34" s="29" t="n">
        <v>1</v>
      </c>
      <c r="G34" s="30" t="n">
        <v>1250000</v>
      </c>
      <c r="H34" s="30" t="n">
        <v>0</v>
      </c>
      <c r="I34" s="31">
        <f>G34*F34</f>
        <v/>
      </c>
    </row>
    <row r="35" ht="30" customHeight="1">
      <c r="A35" s="25" t="inlineStr">
        <is>
          <t>어필리에이트</t>
        </is>
      </c>
      <c r="B35" s="26" t="inlineStr">
        <is>
          <t>올영 쇼핑 큐레이터</t>
        </is>
      </c>
      <c r="C35" s="27" t="inlineStr">
        <is>
          <t>세일 매출·랭킹 견인</t>
        </is>
      </c>
      <c r="D35" s="27" t="inlineStr">
        <is>
          <t>세일즈 경험 크리에이터</t>
        </is>
      </c>
      <c r="E35" s="28" t="inlineStr">
        <is>
          <t>#올영세일 #장바구니</t>
        </is>
      </c>
      <c r="F35" s="29" t="n">
        <v>10</v>
      </c>
      <c r="G35" s="30" t="n">
        <v>100000</v>
      </c>
      <c r="H35" s="30" t="n">
        <v>0</v>
      </c>
      <c r="I35" s="31">
        <f>G35*F35</f>
        <v/>
      </c>
    </row>
    <row r="36" ht="30" customHeight="1">
      <c r="A36" s="25" t="inlineStr">
        <is>
          <t>콘텐츠 제작 (KV·영상·이미지)</t>
        </is>
      </c>
      <c r="B36" s="26" t="inlineStr">
        <is>
          <t>제작</t>
        </is>
      </c>
      <c r="C36" s="27" t="inlineStr">
        <is>
          <t>세일 본편·마지막날 소재</t>
        </is>
      </c>
      <c r="D36" s="27" t="inlineStr">
        <is>
          <t>—</t>
        </is>
      </c>
      <c r="E36" s="28" t="inlineStr">
        <is>
          <t>—</t>
        </is>
      </c>
      <c r="F36" s="29" t="n">
        <v>1</v>
      </c>
      <c r="G36" s="30" t="n">
        <v>1500000</v>
      </c>
      <c r="H36" s="30" t="n">
        <v>0</v>
      </c>
      <c r="I36" s="31">
        <f>G36*F36</f>
        <v/>
      </c>
    </row>
    <row r="37">
      <c r="A37" s="32" t="inlineStr">
        <is>
          <t>9월 소계</t>
        </is>
      </c>
      <c r="F37" s="33">
        <f>SUM(F30:F36)</f>
        <v/>
      </c>
      <c r="G37" s="34" t="inlineStr"/>
      <c r="H37" s="35">
        <f>SUM(H30:H36)</f>
        <v/>
      </c>
      <c r="I37" s="35">
        <f>SUM(I30:I36)</f>
        <v/>
      </c>
    </row>
    <row r="38" ht="22" customHeight="1">
      <c r="A38" s="24" t="inlineStr">
        <is>
          <t xml:space="preserve">  ▣ 10월 · 유지 / 건기식 라인 확장   —   건기식 라인 확장 + 위닝 소재 낙수 · 타겟: 직장인 루틴형</t>
        </is>
      </c>
    </row>
    <row r="39" ht="30" customHeight="1">
      <c r="A39" s="25" t="inlineStr">
        <is>
          <t>마이크로 (UGC)</t>
        </is>
      </c>
      <c r="B39" s="26" t="inlineStr">
        <is>
          <t>IG·TT</t>
        </is>
      </c>
      <c r="C39" s="27" t="inlineStr">
        <is>
          <t>건기식(루테인·바나바잎·올인원) 확장 메시지 테스트</t>
        </is>
      </c>
      <c r="D39" s="27" t="inlineStr">
        <is>
          <t>직장인 루틴형 2535</t>
        </is>
      </c>
      <c r="E39" s="28" t="inlineStr">
        <is>
          <t>#올더베러 #오늘도베러</t>
        </is>
      </c>
      <c r="F39" s="29" t="n">
        <v>24</v>
      </c>
      <c r="G39" s="30" t="n">
        <v>500000</v>
      </c>
      <c r="H39" s="30" t="n">
        <v>0</v>
      </c>
      <c r="I39" s="31">
        <f>G39*F39</f>
        <v/>
      </c>
    </row>
    <row r="40" ht="30" customHeight="1">
      <c r="A40" s="25" t="inlineStr">
        <is>
          <t>나노</t>
        </is>
      </c>
      <c r="B40" s="26" t="inlineStr">
        <is>
          <t>IG</t>
        </is>
      </c>
      <c r="C40" s="27" t="inlineStr">
        <is>
          <t>9월 위닝 소재 낙수·후기 자산 확산</t>
        </is>
      </c>
      <c r="D40" s="27" t="inlineStr">
        <is>
          <t>웰니스 입문형 2030</t>
        </is>
      </c>
      <c r="E40" s="28" t="inlineStr">
        <is>
          <t>#올더베러 #오늘도베러 #웰니스입문</t>
        </is>
      </c>
      <c r="F40" s="29" t="n">
        <v>24</v>
      </c>
      <c r="G40" s="30" t="n">
        <v>250000</v>
      </c>
      <c r="H40" s="30" t="n">
        <v>0</v>
      </c>
      <c r="I40" s="31">
        <f>G40*F40</f>
        <v/>
      </c>
    </row>
    <row r="41" ht="30" customHeight="1">
      <c r="A41" s="25" t="inlineStr">
        <is>
          <t>KOL 무가시딩</t>
        </is>
      </c>
      <c r="B41" s="26" t="inlineStr">
        <is>
          <t>IG·YT</t>
        </is>
      </c>
      <c r="C41" s="27" t="inlineStr">
        <is>
          <t>관계형 콘텐츠 유지</t>
        </is>
      </c>
      <c r="D41" s="27" t="inlineStr">
        <is>
          <t>30대 웰니스 KOL</t>
        </is>
      </c>
      <c r="E41" s="28" t="inlineStr">
        <is>
          <t>#올더베러 #오늘도베러</t>
        </is>
      </c>
      <c r="F41" s="29" t="n">
        <v>10</v>
      </c>
      <c r="G41" s="30" t="n">
        <v>100000</v>
      </c>
      <c r="H41" s="30" t="n">
        <v>0</v>
      </c>
      <c r="I41" s="31">
        <f>G41*F41</f>
        <v/>
      </c>
    </row>
    <row r="42" ht="30" customHeight="1">
      <c r="A42" s="25" t="inlineStr">
        <is>
          <t>EGC 콘텐츠</t>
        </is>
      </c>
      <c r="B42" s="26" t="inlineStr">
        <is>
          <t>IG·TT</t>
        </is>
      </c>
      <c r="C42" s="27" t="inlineStr">
        <is>
          <t>건기식 라인 신뢰 콘텐츠</t>
        </is>
      </c>
      <c r="D42" s="27" t="inlineStr">
        <is>
          <t>정보 신뢰 구매고려층</t>
        </is>
      </c>
      <c r="E42" s="28" t="inlineStr">
        <is>
          <t>#올더베러 #직원피셜</t>
        </is>
      </c>
      <c r="F42" s="29" t="n">
        <v>2</v>
      </c>
      <c r="G42" s="30" t="n">
        <v>1000000</v>
      </c>
      <c r="H42" s="30" t="n">
        <v>0</v>
      </c>
      <c r="I42" s="31">
        <f>G42*F42</f>
        <v/>
      </c>
    </row>
    <row r="43" ht="30" customHeight="1">
      <c r="A43" s="25" t="inlineStr">
        <is>
          <t>Half EGC 콘텐츠</t>
        </is>
      </c>
      <c r="B43" s="26" t="inlineStr">
        <is>
          <t>IG·TT</t>
        </is>
      </c>
      <c r="C43" s="27" t="inlineStr">
        <is>
          <t>건기식 정보+공감 확장</t>
        </is>
      </c>
      <c r="D43" s="27" t="inlineStr">
        <is>
          <t>건기식 관심 직장인</t>
        </is>
      </c>
      <c r="E43" s="28" t="inlineStr">
        <is>
          <t>#올더베러 #웰니스루틴</t>
        </is>
      </c>
      <c r="F43" s="29" t="n">
        <v>1</v>
      </c>
      <c r="G43" s="30" t="n">
        <v>1250000</v>
      </c>
      <c r="H43" s="30" t="n">
        <v>0</v>
      </c>
      <c r="I43" s="31">
        <f>G43*F43</f>
        <v/>
      </c>
    </row>
    <row r="44" ht="30" customHeight="1">
      <c r="A44" s="25" t="inlineStr">
        <is>
          <t>어필리에이트</t>
        </is>
      </c>
      <c r="B44" s="26" t="inlineStr">
        <is>
          <t>올영 쇼핑 큐레이터</t>
        </is>
      </c>
      <c r="C44" s="27" t="inlineStr">
        <is>
          <t>상시 전환 동선 유지</t>
        </is>
      </c>
      <c r="D44" s="27" t="inlineStr">
        <is>
          <t>세일즈 경험 크리에이터</t>
        </is>
      </c>
      <c r="E44" s="28" t="inlineStr">
        <is>
          <t>#올영세일 #장바구니</t>
        </is>
      </c>
      <c r="F44" s="29" t="n">
        <v>10</v>
      </c>
      <c r="G44" s="30" t="n">
        <v>100000</v>
      </c>
      <c r="H44" s="30" t="n">
        <v>0</v>
      </c>
      <c r="I44" s="31">
        <f>G44*F44</f>
        <v/>
      </c>
    </row>
    <row r="45" ht="30" customHeight="1">
      <c r="A45" s="25" t="inlineStr">
        <is>
          <t>콘텐츠 제작 (KV·영상·이미지)</t>
        </is>
      </c>
      <c r="B45" s="26" t="inlineStr">
        <is>
          <t>제작</t>
        </is>
      </c>
      <c r="C45" s="27" t="inlineStr">
        <is>
          <t>건기식 라인 소재 제작</t>
        </is>
      </c>
      <c r="D45" s="27" t="inlineStr">
        <is>
          <t>—</t>
        </is>
      </c>
      <c r="E45" s="28" t="inlineStr">
        <is>
          <t>—</t>
        </is>
      </c>
      <c r="F45" s="29" t="n">
        <v>1</v>
      </c>
      <c r="G45" s="30" t="n">
        <v>1500000</v>
      </c>
      <c r="H45" s="30" t="n">
        <v>0</v>
      </c>
      <c r="I45" s="31">
        <f>G45*F45</f>
        <v/>
      </c>
    </row>
    <row r="46">
      <c r="A46" s="32" t="inlineStr">
        <is>
          <t>10월 소계</t>
        </is>
      </c>
      <c r="F46" s="33">
        <f>SUM(F39:F45)</f>
        <v/>
      </c>
      <c r="G46" s="34" t="inlineStr"/>
      <c r="H46" s="35">
        <f>SUM(H39:H45)</f>
        <v/>
      </c>
      <c r="I46" s="35">
        <f>SUM(I39:I45)</f>
        <v/>
      </c>
    </row>
    <row r="47" ht="22" customHeight="1">
      <c r="A47" s="24" t="inlineStr">
        <is>
          <t xml:space="preserve">  ▣ 11월 · 블프 (2차 웨이브)   —   재점화 — 많이 보이고 많이 찾는 브랜드 · 타겟: 입문형+루틴형</t>
        </is>
      </c>
    </row>
    <row r="48" ht="30" customHeight="1">
      <c r="A48" s="25" t="inlineStr">
        <is>
          <t>마이크로 (UGC)</t>
        </is>
      </c>
      <c r="B48" s="26" t="inlineStr">
        <is>
          <t>IG·TT</t>
        </is>
      </c>
      <c r="C48" s="27" t="inlineStr">
        <is>
          <t>블프 재점화·위닝 소재 재투입</t>
        </is>
      </c>
      <c r="D48" s="27" t="inlineStr">
        <is>
          <t>직장인 루틴형 2535</t>
        </is>
      </c>
      <c r="E48" s="28" t="inlineStr">
        <is>
          <t>#올더베러 #오늘도베러</t>
        </is>
      </c>
      <c r="F48" s="29" t="n">
        <v>33</v>
      </c>
      <c r="G48" s="30" t="n">
        <v>500000</v>
      </c>
      <c r="H48" s="30" t="n">
        <v>0</v>
      </c>
      <c r="I48" s="31">
        <f>G48*F48</f>
        <v/>
      </c>
    </row>
    <row r="49" ht="30" customHeight="1">
      <c r="A49" s="25" t="inlineStr">
        <is>
          <t>나노</t>
        </is>
      </c>
      <c r="B49" s="26" t="inlineStr">
        <is>
          <t>IG</t>
        </is>
      </c>
      <c r="C49" s="27" t="inlineStr">
        <is>
          <t>진성 후기 재확대·대세감</t>
        </is>
      </c>
      <c r="D49" s="27" t="inlineStr">
        <is>
          <t>웰니스 입문형 2030</t>
        </is>
      </c>
      <c r="E49" s="28" t="inlineStr">
        <is>
          <t>#올더베러 #오늘도베러 #웰니스입문</t>
        </is>
      </c>
      <c r="F49" s="29" t="n">
        <v>33</v>
      </c>
      <c r="G49" s="30" t="n">
        <v>250000</v>
      </c>
      <c r="H49" s="30" t="n">
        <v>0</v>
      </c>
      <c r="I49" s="31">
        <f>G49*F49</f>
        <v/>
      </c>
    </row>
    <row r="50" ht="30" customHeight="1">
      <c r="A50" s="25" t="inlineStr">
        <is>
          <t>매크로</t>
        </is>
      </c>
      <c r="B50" s="26" t="inlineStr">
        <is>
          <t>IG·TT·YT</t>
        </is>
      </c>
      <c r="C50" s="27" t="inlineStr">
        <is>
          <t>블프 대세감 점화</t>
        </is>
      </c>
      <c r="D50" s="27" t="inlineStr">
        <is>
          <t>헬시플레저 광역 4050+</t>
        </is>
      </c>
      <c r="E50" s="28" t="inlineStr">
        <is>
          <t>#올더베러 #올영세일</t>
        </is>
      </c>
      <c r="F50" s="29" t="n">
        <v>5</v>
      </c>
      <c r="G50" s="30" t="n">
        <v>800000</v>
      </c>
      <c r="H50" s="30" t="n">
        <v>0</v>
      </c>
      <c r="I50" s="31">
        <f>G50*F50</f>
        <v/>
      </c>
    </row>
    <row r="51" ht="30" customHeight="1">
      <c r="A51" s="25" t="inlineStr">
        <is>
          <t>KOL 무가시딩</t>
        </is>
      </c>
      <c r="B51" s="26" t="inlineStr">
        <is>
          <t>IG·YT</t>
        </is>
      </c>
      <c r="C51" s="27" t="inlineStr">
        <is>
          <t>오가닉 재가동</t>
        </is>
      </c>
      <c r="D51" s="27" t="inlineStr">
        <is>
          <t>30대 웰니스 KOL</t>
        </is>
      </c>
      <c r="E51" s="28" t="inlineStr">
        <is>
          <t>#올더베러 #오늘도베러</t>
        </is>
      </c>
      <c r="F51" s="29" t="n">
        <v>10</v>
      </c>
      <c r="G51" s="30" t="n">
        <v>100000</v>
      </c>
      <c r="H51" s="30" t="n">
        <v>0</v>
      </c>
      <c r="I51" s="31">
        <f>G51*F51</f>
        <v/>
      </c>
    </row>
    <row r="52" ht="30" customHeight="1">
      <c r="A52" s="25" t="inlineStr">
        <is>
          <t>X (트위터) 시딩</t>
        </is>
      </c>
      <c r="B52" s="26" t="inlineStr">
        <is>
          <t>X</t>
        </is>
      </c>
      <c r="C52" s="27" t="inlineStr">
        <is>
          <t>실시간 트렌드 바이럴</t>
        </is>
      </c>
      <c r="D52" s="27" t="inlineStr">
        <is>
          <t>리뷰·밈 2030</t>
        </is>
      </c>
      <c r="E52" s="28" t="inlineStr">
        <is>
          <t>#올더베러 #올영템</t>
        </is>
      </c>
      <c r="F52" s="29" t="n">
        <v>5</v>
      </c>
      <c r="G52" s="30" t="n">
        <v>500000</v>
      </c>
      <c r="H52" s="30" t="n">
        <v>0</v>
      </c>
      <c r="I52" s="31">
        <f>G52*F52</f>
        <v/>
      </c>
    </row>
    <row r="53" ht="30" customHeight="1">
      <c r="A53" s="25" t="inlineStr">
        <is>
          <t>네이버 블로그</t>
        </is>
      </c>
      <c r="B53" s="26" t="inlineStr">
        <is>
          <t>Blog</t>
        </is>
      </c>
      <c r="C53" s="27" t="inlineStr">
        <is>
          <t>검색 상위·추천 점유</t>
        </is>
      </c>
      <c r="D53" s="27" t="inlineStr">
        <is>
          <t>정보탐색 검색자</t>
        </is>
      </c>
      <c r="E53" s="28" t="inlineStr">
        <is>
          <t>#올더베러 #웰니스구미추천</t>
        </is>
      </c>
      <c r="F53" s="29" t="n">
        <v>5</v>
      </c>
      <c r="G53" s="30" t="n">
        <v>300000</v>
      </c>
      <c r="H53" s="30" t="n">
        <v>0</v>
      </c>
      <c r="I53" s="31">
        <f>G53*F53</f>
        <v/>
      </c>
    </row>
    <row r="54" ht="30" customHeight="1">
      <c r="A54" s="25" t="inlineStr">
        <is>
          <t>EGC 콘텐츠</t>
        </is>
      </c>
      <c r="B54" s="26" t="inlineStr">
        <is>
          <t>IG·TT</t>
        </is>
      </c>
      <c r="C54" s="27" t="inlineStr">
        <is>
          <t>RTB+혜택 결합 소재</t>
        </is>
      </c>
      <c r="D54" s="27" t="inlineStr">
        <is>
          <t>정보 신뢰 구매고려층</t>
        </is>
      </c>
      <c r="E54" s="28" t="inlineStr">
        <is>
          <t>#올더베러 #직원피셜</t>
        </is>
      </c>
      <c r="F54" s="29" t="n">
        <v>2</v>
      </c>
      <c r="G54" s="30" t="n">
        <v>1000000</v>
      </c>
      <c r="H54" s="30" t="n">
        <v>0</v>
      </c>
      <c r="I54" s="31">
        <f>G54*F54</f>
        <v/>
      </c>
    </row>
    <row r="55" ht="30" customHeight="1">
      <c r="A55" s="25" t="inlineStr">
        <is>
          <t>Half EGC 콘텐츠</t>
        </is>
      </c>
      <c r="B55" s="26" t="inlineStr">
        <is>
          <t>IG·TT</t>
        </is>
      </c>
      <c r="C55" s="27" t="inlineStr">
        <is>
          <t>건기식 정보 콘텐츠</t>
        </is>
      </c>
      <c r="D55" s="27" t="inlineStr">
        <is>
          <t>건기식 관심 직장인</t>
        </is>
      </c>
      <c r="E55" s="28" t="inlineStr">
        <is>
          <t>#올더베러 #웰니스루틴</t>
        </is>
      </c>
      <c r="F55" s="29" t="n">
        <v>1</v>
      </c>
      <c r="G55" s="30" t="n">
        <v>1250000</v>
      </c>
      <c r="H55" s="30" t="n">
        <v>0</v>
      </c>
      <c r="I55" s="31">
        <f>G55*F55</f>
        <v/>
      </c>
    </row>
    <row r="56" ht="30" customHeight="1">
      <c r="A56" s="25" t="inlineStr">
        <is>
          <t>파워페이지</t>
        </is>
      </c>
      <c r="B56" s="26" t="inlineStr">
        <is>
          <t>SNS</t>
        </is>
      </c>
      <c r="C56" s="27" t="inlineStr">
        <is>
          <t>추천 맥락 재노출</t>
        </is>
      </c>
      <c r="D56" s="27" t="inlineStr">
        <is>
          <t>구매 고의도 검색자</t>
        </is>
      </c>
      <c r="E56" s="28" t="inlineStr">
        <is>
          <t>#올영추천템 #웰니스추천</t>
        </is>
      </c>
      <c r="F56" s="29" t="n">
        <v>3</v>
      </c>
      <c r="G56" s="30" t="n">
        <v>800000</v>
      </c>
      <c r="H56" s="30" t="n">
        <v>0</v>
      </c>
      <c r="I56" s="31">
        <f>G56*F56</f>
        <v/>
      </c>
    </row>
    <row r="57" ht="30" customHeight="1">
      <c r="A57" s="25" t="inlineStr">
        <is>
          <t>커뮤니티 체험단</t>
        </is>
      </c>
      <c r="B57" s="26" t="inlineStr">
        <is>
          <t>뷰티앱·커뮤니티</t>
        </is>
      </c>
      <c r="C57" s="27" t="inlineStr">
        <is>
          <t>검증 후기 보강</t>
        </is>
      </c>
      <c r="D57" s="27" t="inlineStr">
        <is>
          <t>카테고리 관여 高 사용자</t>
        </is>
      </c>
      <c r="E57" s="28" t="inlineStr">
        <is>
          <t>#올리브영 #웰니스어워드</t>
        </is>
      </c>
      <c r="F57" s="29" t="n">
        <v>1</v>
      </c>
      <c r="G57" s="30" t="n">
        <v>5000000</v>
      </c>
      <c r="H57" s="36">
        <f>G57*F57*0.2</f>
        <v/>
      </c>
      <c r="I57" s="31">
        <f>G57*F57*1.2</f>
        <v/>
      </c>
    </row>
    <row r="58" ht="30" customHeight="1">
      <c r="A58" s="25" t="inlineStr">
        <is>
          <t>챌린저스</t>
        </is>
      </c>
      <c r="B58" s="26" t="inlineStr">
        <is>
          <t>챌린저스 앱</t>
        </is>
      </c>
      <c r="C58" s="27" t="inlineStr">
        <is>
          <t>챌린저스 2차·신뢰 자산 보강</t>
        </is>
      </c>
      <c r="D58" s="27" t="inlineStr">
        <is>
          <t>올영 액티브 유저</t>
        </is>
      </c>
      <c r="E58" s="28" t="inlineStr">
        <is>
          <t>#올영1위 #올더베러챌린지</t>
        </is>
      </c>
      <c r="F58" s="29" t="n">
        <v>1</v>
      </c>
      <c r="G58" s="30" t="n">
        <v>5000000</v>
      </c>
      <c r="H58" s="36">
        <f>G58*F58*0.2</f>
        <v/>
      </c>
      <c r="I58" s="31">
        <f>G58*F58*1.2</f>
        <v/>
      </c>
    </row>
    <row r="59" ht="30" customHeight="1">
      <c r="A59" s="25" t="inlineStr">
        <is>
          <t>어필리에이트</t>
        </is>
      </c>
      <c r="B59" s="26" t="inlineStr">
        <is>
          <t>올영 쇼핑 큐레이터</t>
        </is>
      </c>
      <c r="C59" s="27" t="inlineStr">
        <is>
          <t>블프 전환 견인</t>
        </is>
      </c>
      <c r="D59" s="27" t="inlineStr">
        <is>
          <t>세일즈 경험 크리에이터</t>
        </is>
      </c>
      <c r="E59" s="28" t="inlineStr">
        <is>
          <t>#올영세일 #장바구니</t>
        </is>
      </c>
      <c r="F59" s="29" t="n">
        <v>10</v>
      </c>
      <c r="G59" s="30" t="n">
        <v>100000</v>
      </c>
      <c r="H59" s="30" t="n">
        <v>0</v>
      </c>
      <c r="I59" s="31">
        <f>G59*F59</f>
        <v/>
      </c>
    </row>
    <row r="60" ht="30" customHeight="1">
      <c r="A60" s="25" t="inlineStr">
        <is>
          <t>콘텐츠 제작 (KV·영상·이미지)</t>
        </is>
      </c>
      <c r="B60" s="26" t="inlineStr">
        <is>
          <t>제작</t>
        </is>
      </c>
      <c r="C60" s="27" t="inlineStr">
        <is>
          <t>블프 프로모션 소재</t>
        </is>
      </c>
      <c r="D60" s="27" t="inlineStr">
        <is>
          <t>—</t>
        </is>
      </c>
      <c r="E60" s="28" t="inlineStr">
        <is>
          <t>—</t>
        </is>
      </c>
      <c r="F60" s="29" t="n">
        <v>1</v>
      </c>
      <c r="G60" s="30" t="n">
        <v>1500000</v>
      </c>
      <c r="H60" s="30" t="n">
        <v>0</v>
      </c>
      <c r="I60" s="31">
        <f>G60*F60</f>
        <v/>
      </c>
    </row>
    <row r="61">
      <c r="A61" s="32" t="inlineStr">
        <is>
          <t>11월 소계</t>
        </is>
      </c>
      <c r="F61" s="33">
        <f>SUM(F48:F60)</f>
        <v/>
      </c>
      <c r="G61" s="34" t="inlineStr"/>
      <c r="H61" s="35">
        <f>SUM(H48:H60)</f>
        <v/>
      </c>
      <c r="I61" s="35">
        <f>SUM(I48:I60)</f>
        <v/>
      </c>
    </row>
    <row r="62" ht="22" customHeight="1">
      <c r="A62" s="24" t="inlineStr">
        <is>
          <t xml:space="preserve">  ▣ 12월 · 올영세일 2차 피크 / 대표성 착지   —   웰니스 카테고리 대표 브랜드 착지 · 타겟: 실질 전환형</t>
        </is>
      </c>
    </row>
    <row r="63" ht="30" customHeight="1">
      <c r="A63" s="25" t="inlineStr">
        <is>
          <t>마이크로 (UGC)</t>
        </is>
      </c>
      <c r="B63" s="26" t="inlineStr">
        <is>
          <t>IG·TT</t>
        </is>
      </c>
      <c r="C63" s="27" t="inlineStr">
        <is>
          <t>전 라인업 대표성 콘텐츠·세일 클로징</t>
        </is>
      </c>
      <c r="D63" s="27" t="inlineStr">
        <is>
          <t>직장인 루틴형 2535</t>
        </is>
      </c>
      <c r="E63" s="28" t="inlineStr">
        <is>
          <t>#올더베러 #오늘도베러</t>
        </is>
      </c>
      <c r="F63" s="29" t="n">
        <v>41</v>
      </c>
      <c r="G63" s="30" t="n">
        <v>500000</v>
      </c>
      <c r="H63" s="30" t="n">
        <v>0</v>
      </c>
      <c r="I63" s="31">
        <f>G63*F63</f>
        <v/>
      </c>
    </row>
    <row r="64" ht="30" customHeight="1">
      <c r="A64" s="25" t="inlineStr">
        <is>
          <t>나노</t>
        </is>
      </c>
      <c r="B64" s="26" t="inlineStr">
        <is>
          <t>IG</t>
        </is>
      </c>
      <c r="C64" s="27" t="inlineStr">
        <is>
          <t>구매 인증·쟁여두기 소구</t>
        </is>
      </c>
      <c r="D64" s="27" t="inlineStr">
        <is>
          <t>웰니스 입문형 2030</t>
        </is>
      </c>
      <c r="E64" s="28" t="inlineStr">
        <is>
          <t>#올더베러 #오늘도베러 #웰니스입문</t>
        </is>
      </c>
      <c r="F64" s="29" t="n">
        <v>41</v>
      </c>
      <c r="G64" s="30" t="n">
        <v>250000</v>
      </c>
      <c r="H64" s="30" t="n">
        <v>0</v>
      </c>
      <c r="I64" s="31">
        <f>G64*F64</f>
        <v/>
      </c>
    </row>
    <row r="65" ht="30" customHeight="1">
      <c r="A65" s="25" t="inlineStr">
        <is>
          <t>매크로</t>
        </is>
      </c>
      <c r="B65" s="26" t="inlineStr">
        <is>
          <t>IG·TT·YT</t>
        </is>
      </c>
      <c r="C65" s="27" t="inlineStr">
        <is>
          <t>세일 대세감·대표성</t>
        </is>
      </c>
      <c r="D65" s="27" t="inlineStr">
        <is>
          <t>헬시플레저 광역 4050+</t>
        </is>
      </c>
      <c r="E65" s="28" t="inlineStr">
        <is>
          <t>#올더베러 #올영세일</t>
        </is>
      </c>
      <c r="F65" s="29" t="n">
        <v>5</v>
      </c>
      <c r="G65" s="30" t="n">
        <v>800000</v>
      </c>
      <c r="H65" s="30" t="n">
        <v>0</v>
      </c>
      <c r="I65" s="31">
        <f>G65*F65</f>
        <v/>
      </c>
    </row>
    <row r="66" ht="30" customHeight="1">
      <c r="A66" s="25" t="inlineStr">
        <is>
          <t>KOL 무가시딩</t>
        </is>
      </c>
      <c r="B66" s="26" t="inlineStr">
        <is>
          <t>IG·YT</t>
        </is>
      </c>
      <c r="C66" s="27" t="inlineStr">
        <is>
          <t>연말 자발 후기</t>
        </is>
      </c>
      <c r="D66" s="27" t="inlineStr">
        <is>
          <t>30대 웰니스 KOL</t>
        </is>
      </c>
      <c r="E66" s="28" t="inlineStr">
        <is>
          <t>#올더베러 #오늘도베러</t>
        </is>
      </c>
      <c r="F66" s="29" t="n">
        <v>10</v>
      </c>
      <c r="G66" s="30" t="n">
        <v>100000</v>
      </c>
      <c r="H66" s="30" t="n">
        <v>0</v>
      </c>
      <c r="I66" s="31">
        <f>G66*F66</f>
        <v/>
      </c>
    </row>
    <row r="67" ht="30" customHeight="1">
      <c r="A67" s="25" t="inlineStr">
        <is>
          <t>X (트위터) 시딩</t>
        </is>
      </c>
      <c r="B67" s="26" t="inlineStr">
        <is>
          <t>X</t>
        </is>
      </c>
      <c r="C67" s="27" t="inlineStr">
        <is>
          <t>실시간 바이럴</t>
        </is>
      </c>
      <c r="D67" s="27" t="inlineStr">
        <is>
          <t>리뷰·밈 2030</t>
        </is>
      </c>
      <c r="E67" s="28" t="inlineStr">
        <is>
          <t>#올더베러 #올영템</t>
        </is>
      </c>
      <c r="F67" s="29" t="n">
        <v>5</v>
      </c>
      <c r="G67" s="30" t="n">
        <v>500000</v>
      </c>
      <c r="H67" s="30" t="n">
        <v>0</v>
      </c>
      <c r="I67" s="31">
        <f>G67*F67</f>
        <v/>
      </c>
    </row>
    <row r="68" ht="30" customHeight="1">
      <c r="A68" s="25" t="inlineStr">
        <is>
          <t>네이버 블로그</t>
        </is>
      </c>
      <c r="B68" s="26" t="inlineStr">
        <is>
          <t>Blog</t>
        </is>
      </c>
      <c r="C68" s="27" t="inlineStr">
        <is>
          <t>검색 점유 유지</t>
        </is>
      </c>
      <c r="D68" s="27" t="inlineStr">
        <is>
          <t>정보탐색 검색자</t>
        </is>
      </c>
      <c r="E68" s="28" t="inlineStr">
        <is>
          <t>#올더베러 #웰니스구미추천</t>
        </is>
      </c>
      <c r="F68" s="29" t="n">
        <v>5</v>
      </c>
      <c r="G68" s="30" t="n">
        <v>300000</v>
      </c>
      <c r="H68" s="30" t="n">
        <v>0</v>
      </c>
      <c r="I68" s="31">
        <f>G68*F68</f>
        <v/>
      </c>
    </row>
    <row r="69" ht="30" customHeight="1">
      <c r="A69" s="25" t="inlineStr">
        <is>
          <t>EGC 콘텐츠</t>
        </is>
      </c>
      <c r="B69" s="26" t="inlineStr">
        <is>
          <t>IG·TT</t>
        </is>
      </c>
      <c r="C69" s="27" t="inlineStr">
        <is>
          <t>대표성 신뢰 소재</t>
        </is>
      </c>
      <c r="D69" s="27" t="inlineStr">
        <is>
          <t>정보 신뢰 구매고려층</t>
        </is>
      </c>
      <c r="E69" s="28" t="inlineStr">
        <is>
          <t>#올더베러 #직원피셜</t>
        </is>
      </c>
      <c r="F69" s="29" t="n">
        <v>2</v>
      </c>
      <c r="G69" s="30" t="n">
        <v>1000000</v>
      </c>
      <c r="H69" s="30" t="n">
        <v>0</v>
      </c>
      <c r="I69" s="31">
        <f>G69*F69</f>
        <v/>
      </c>
    </row>
    <row r="70" ht="30" customHeight="1">
      <c r="A70" s="25" t="inlineStr">
        <is>
          <t>Half EGC 콘텐츠</t>
        </is>
      </c>
      <c r="B70" s="26" t="inlineStr">
        <is>
          <t>IG·TT</t>
        </is>
      </c>
      <c r="C70" s="27" t="inlineStr">
        <is>
          <t>건기식 정보 콘텐츠</t>
        </is>
      </c>
      <c r="D70" s="27" t="inlineStr">
        <is>
          <t>건기식 관심 직장인</t>
        </is>
      </c>
      <c r="E70" s="28" t="inlineStr">
        <is>
          <t>#올더베러 #웰니스루틴</t>
        </is>
      </c>
      <c r="F70" s="29" t="n">
        <v>1</v>
      </c>
      <c r="G70" s="30" t="n">
        <v>1250000</v>
      </c>
      <c r="H70" s="30" t="n">
        <v>0</v>
      </c>
      <c r="I70" s="31">
        <f>G70*F70</f>
        <v/>
      </c>
    </row>
    <row r="71" ht="30" customHeight="1">
      <c r="A71" s="25" t="inlineStr">
        <is>
          <t>파워페이지</t>
        </is>
      </c>
      <c r="B71" s="26" t="inlineStr">
        <is>
          <t>SNS</t>
        </is>
      </c>
      <c r="C71" s="27" t="inlineStr">
        <is>
          <t>추천 맥락 노출</t>
        </is>
      </c>
      <c r="D71" s="27" t="inlineStr">
        <is>
          <t>구매 고의도 검색자</t>
        </is>
      </c>
      <c r="E71" s="28" t="inlineStr">
        <is>
          <t>#올영추천템 #웰니스추천</t>
        </is>
      </c>
      <c r="F71" s="29" t="n">
        <v>3</v>
      </c>
      <c r="G71" s="30" t="n">
        <v>800000</v>
      </c>
      <c r="H71" s="30" t="n">
        <v>0</v>
      </c>
      <c r="I71" s="31">
        <f>G71*F71</f>
        <v/>
      </c>
    </row>
    <row r="72" ht="30" customHeight="1">
      <c r="A72" s="25" t="inlineStr">
        <is>
          <t>커뮤니티 체험단</t>
        </is>
      </c>
      <c r="B72" s="26" t="inlineStr">
        <is>
          <t>뷰티앱·커뮤니티</t>
        </is>
      </c>
      <c r="C72" s="27" t="inlineStr">
        <is>
          <t>연말 어워드·랭킹</t>
        </is>
      </c>
      <c r="D72" s="27" t="inlineStr">
        <is>
          <t>카테고리 관여 高 사용자</t>
        </is>
      </c>
      <c r="E72" s="28" t="inlineStr">
        <is>
          <t>#올리브영 #웰니스어워드</t>
        </is>
      </c>
      <c r="F72" s="29" t="n">
        <v>1</v>
      </c>
      <c r="G72" s="30" t="n">
        <v>5000000</v>
      </c>
      <c r="H72" s="36">
        <f>G72*F72*0.2</f>
        <v/>
      </c>
      <c r="I72" s="31">
        <f>G72*F72*1.2</f>
        <v/>
      </c>
    </row>
    <row r="73" ht="30" customHeight="1">
      <c r="A73" s="25" t="inlineStr">
        <is>
          <t>어필리에이트</t>
        </is>
      </c>
      <c r="B73" s="26" t="inlineStr">
        <is>
          <t>올영 쇼핑 큐레이터</t>
        </is>
      </c>
      <c r="C73" s="27" t="inlineStr">
        <is>
          <t>세일 매출·랭킹 클로징</t>
        </is>
      </c>
      <c r="D73" s="27" t="inlineStr">
        <is>
          <t>세일즈 경험 크리에이터</t>
        </is>
      </c>
      <c r="E73" s="28" t="inlineStr">
        <is>
          <t>#올영세일 #장바구니</t>
        </is>
      </c>
      <c r="F73" s="29" t="n">
        <v>10</v>
      </c>
      <c r="G73" s="30" t="n">
        <v>100000</v>
      </c>
      <c r="H73" s="30" t="n">
        <v>0</v>
      </c>
      <c r="I73" s="31">
        <f>G73*F73</f>
        <v/>
      </c>
    </row>
    <row r="74" ht="30" customHeight="1">
      <c r="A74" s="25" t="inlineStr">
        <is>
          <t>콘텐츠 제작 (KV·영상·이미지)</t>
        </is>
      </c>
      <c r="B74" s="26" t="inlineStr">
        <is>
          <t>제작</t>
        </is>
      </c>
      <c r="C74" s="27" t="inlineStr">
        <is>
          <t>세일 클로징 소재</t>
        </is>
      </c>
      <c r="D74" s="27" t="inlineStr">
        <is>
          <t>—</t>
        </is>
      </c>
      <c r="E74" s="28" t="inlineStr">
        <is>
          <t>—</t>
        </is>
      </c>
      <c r="F74" s="29" t="n">
        <v>1</v>
      </c>
      <c r="G74" s="30" t="n">
        <v>1500000</v>
      </c>
      <c r="H74" s="30" t="n">
        <v>0</v>
      </c>
      <c r="I74" s="31">
        <f>G74*F74</f>
        <v/>
      </c>
    </row>
    <row r="75">
      <c r="A75" s="32" t="inlineStr">
        <is>
          <t>12월 소계</t>
        </is>
      </c>
      <c r="F75" s="33">
        <f>SUM(F63:F74)</f>
        <v/>
      </c>
      <c r="G75" s="34" t="inlineStr"/>
      <c r="H75" s="35">
        <f>SUM(H63:H74)</f>
        <v/>
      </c>
      <c r="I75" s="35">
        <f>SUM(I63:I74)</f>
        <v/>
      </c>
    </row>
    <row r="76">
      <c r="A76" s="37" t="inlineStr">
        <is>
          <t>총 합계 (원고료+마크업, VAT 별도)</t>
        </is>
      </c>
      <c r="F76" s="38" t="n"/>
      <c r="G76" s="38" t="n"/>
      <c r="H76" s="39">
        <f>H13+H28+H37+H46+H61+H75</f>
        <v/>
      </c>
      <c r="I76" s="40">
        <f>I13+I28+I37+I46+I61+I75</f>
        <v/>
      </c>
    </row>
    <row r="77">
      <c r="H77" s="41" t="inlineStr">
        <is>
          <t>부가세(10%)</t>
        </is>
      </c>
      <c r="I77" s="31">
        <f>I76*0.1</f>
        <v/>
      </c>
    </row>
    <row r="78">
      <c r="H78" s="37" t="inlineStr">
        <is>
          <t>합계(VAT 포함)</t>
        </is>
      </c>
      <c r="I78" s="39">
        <f>I76*1.1</f>
        <v/>
      </c>
    </row>
    <row r="80">
      <c r="A80" s="24" t="inlineStr">
        <is>
          <t>■ 무상 지원 (Value-add · 0원)</t>
        </is>
      </c>
      <c r="B80" s="42" t="n"/>
      <c r="C80" s="42" t="n"/>
      <c r="D80" s="42" t="n"/>
      <c r="E80" s="42" t="n"/>
      <c r="F80" s="42" t="n"/>
      <c r="G80" s="42" t="n"/>
      <c r="H80" s="42" t="n"/>
      <c r="I80" s="43" t="n"/>
    </row>
    <row r="81">
      <c r="A81" s="25" t="inlineStr">
        <is>
          <t>스프레이ai 솔루션</t>
        </is>
      </c>
      <c r="B81" s="44" t="inlineStr">
        <is>
          <t>무상</t>
        </is>
      </c>
      <c r="C81" s="27" t="inlineStr">
        <is>
          <t>대행 종료시점까지 무상 — 월 420만(브랜드 1개) · 연 5,040만원 상당</t>
        </is>
      </c>
      <c r="F81" s="26" t="inlineStr">
        <is>
          <t>-</t>
        </is>
      </c>
      <c r="G81" s="26" t="inlineStr">
        <is>
          <t>-</t>
        </is>
      </c>
      <c r="H81" s="26" t="inlineStr">
        <is>
          <t>-</t>
        </is>
      </c>
      <c r="I81" s="45" t="n">
        <v>0</v>
      </c>
    </row>
    <row r="82">
      <c r="A82" s="25" t="inlineStr">
        <is>
          <t>피처링 스탠다드형 솔루션</t>
        </is>
      </c>
      <c r="B82" s="44" t="inlineStr">
        <is>
          <t>무상</t>
        </is>
      </c>
      <c r="C82" s="27" t="inlineStr">
        <is>
          <t>대행 기간 무상 — 연 378만원 상당</t>
        </is>
      </c>
      <c r="F82" s="26" t="inlineStr">
        <is>
          <t>-</t>
        </is>
      </c>
      <c r="G82" s="26" t="inlineStr">
        <is>
          <t>-</t>
        </is>
      </c>
      <c r="H82" s="26" t="inlineStr">
        <is>
          <t>-</t>
        </is>
      </c>
      <c r="I82" s="45" t="n">
        <v>0</v>
      </c>
    </row>
    <row r="83">
      <c r="A83" s="25" t="inlineStr">
        <is>
          <t>고성과 리포트 대시보드</t>
        </is>
      </c>
      <c r="B83" s="44" t="inlineStr">
        <is>
          <t>무상</t>
        </is>
      </c>
      <c r="C83" s="27" t="inlineStr">
        <is>
          <t>실시간 성과·랭킹 트래킹 제공</t>
        </is>
      </c>
      <c r="F83" s="26" t="inlineStr">
        <is>
          <t>-</t>
        </is>
      </c>
      <c r="G83" s="26" t="inlineStr">
        <is>
          <t>-</t>
        </is>
      </c>
      <c r="H83" s="26" t="inlineStr">
        <is>
          <t>-</t>
        </is>
      </c>
      <c r="I83" s="45" t="n">
        <v>0</v>
      </c>
    </row>
    <row r="84">
      <c r="A84" s="25" t="inlineStr">
        <is>
          <t>올리비아 (AI 어시스턴트)</t>
        </is>
      </c>
      <c r="B84" s="44" t="inlineStr">
        <is>
          <t>무상</t>
        </is>
      </c>
      <c r="C84" s="27" t="inlineStr">
        <is>
          <t>AI 콘텐츠·리포팅 어시스턴트 제공</t>
        </is>
      </c>
      <c r="F84" s="26" t="inlineStr">
        <is>
          <t>-</t>
        </is>
      </c>
      <c r="G84" s="26" t="inlineStr">
        <is>
          <t>-</t>
        </is>
      </c>
      <c r="H84" s="26" t="inlineStr">
        <is>
          <t>-</t>
        </is>
      </c>
      <c r="I84" s="45" t="n">
        <v>0</v>
      </c>
    </row>
    <row r="85">
      <c r="A85" s="25" t="inlineStr">
        <is>
          <t>VOC 딥다이브 리포트</t>
        </is>
      </c>
      <c r="B85" s="44" t="inlineStr">
        <is>
          <t>무상</t>
        </is>
      </c>
      <c r="C85" s="27" t="inlineStr">
        <is>
          <t>리뷰 크롤링·키워드 분석 리포트</t>
        </is>
      </c>
      <c r="F85" s="26" t="inlineStr">
        <is>
          <t>-</t>
        </is>
      </c>
      <c r="G85" s="26" t="inlineStr">
        <is>
          <t>-</t>
        </is>
      </c>
      <c r="H85" s="26" t="inlineStr">
        <is>
          <t>-</t>
        </is>
      </c>
      <c r="I85" s="45" t="n">
        <v>0</v>
      </c>
    </row>
    <row r="86">
      <c r="A86" s="25" t="inlineStr">
        <is>
          <t>Claude AI 심의 사전검수</t>
        </is>
      </c>
      <c r="B86" s="44" t="inlineStr">
        <is>
          <t>무상</t>
        </is>
      </c>
      <c r="C86" s="27" t="inlineStr">
        <is>
          <t>심의 반려율↓·리드타임 단축</t>
        </is>
      </c>
      <c r="F86" s="26" t="inlineStr">
        <is>
          <t>-</t>
        </is>
      </c>
      <c r="G86" s="26" t="inlineStr">
        <is>
          <t>-</t>
        </is>
      </c>
      <c r="H86" s="26" t="inlineStr">
        <is>
          <t>-</t>
        </is>
      </c>
      <c r="I86" s="45" t="n">
        <v>0</v>
      </c>
    </row>
    <row r="87">
      <c r="A87" s="25" t="inlineStr">
        <is>
          <t>월간 성과 리포팅</t>
        </is>
      </c>
      <c r="B87" s="44" t="inlineStr">
        <is>
          <t>무상</t>
        </is>
      </c>
      <c r="C87" s="27" t="inlineStr">
        <is>
          <t>일·주·월간 리포팅 제공</t>
        </is>
      </c>
      <c r="F87" s="26" t="inlineStr">
        <is>
          <t>-</t>
        </is>
      </c>
      <c r="G87" s="26" t="inlineStr">
        <is>
          <t>-</t>
        </is>
      </c>
      <c r="H87" s="26" t="inlineStr">
        <is>
          <t>-</t>
        </is>
      </c>
      <c r="I87" s="45" t="n">
        <v>0</v>
      </c>
    </row>
    <row r="88">
      <c r="A88" s="25" t="inlineStr">
        <is>
          <t>위닝 콘텐츠 2차 활용</t>
        </is>
      </c>
      <c r="B88" s="44" t="inlineStr">
        <is>
          <t>무상</t>
        </is>
      </c>
      <c r="C88" s="27" t="inlineStr">
        <is>
          <t>페이드·온드 미디어 2차 활용 라이선스</t>
        </is>
      </c>
      <c r="F88" s="26" t="inlineStr">
        <is>
          <t>-</t>
        </is>
      </c>
      <c r="G88" s="26" t="inlineStr">
        <is>
          <t>-</t>
        </is>
      </c>
      <c r="H88" s="26" t="inlineStr">
        <is>
          <t>-</t>
        </is>
      </c>
      <c r="I88" s="45" t="n">
        <v>0</v>
      </c>
    </row>
  </sheetData>
  <mergeCells count="22">
    <mergeCell ref="C84:E84"/>
    <mergeCell ref="A80:I80"/>
    <mergeCell ref="A61:E61"/>
    <mergeCell ref="A47:I47"/>
    <mergeCell ref="A5:I5"/>
    <mergeCell ref="A14:I14"/>
    <mergeCell ref="A37:E37"/>
    <mergeCell ref="A46:E46"/>
    <mergeCell ref="A75:E75"/>
    <mergeCell ref="C82:E82"/>
    <mergeCell ref="A62:I62"/>
    <mergeCell ref="A38:I38"/>
    <mergeCell ref="C81:E81"/>
    <mergeCell ref="A29:I29"/>
    <mergeCell ref="A76:E76"/>
    <mergeCell ref="C87:E87"/>
    <mergeCell ref="C86:E86"/>
    <mergeCell ref="C83:E83"/>
    <mergeCell ref="A28:E28"/>
    <mergeCell ref="C88:E88"/>
    <mergeCell ref="A13:E13"/>
    <mergeCell ref="C85:E8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8.5" customWidth="1" min="3" max="3"/>
    <col width="11" customWidth="1" min="4" max="4"/>
    <col width="9.5" customWidth="1" min="5" max="5"/>
    <col width="8.5" customWidth="1" min="6" max="6"/>
    <col width="11" customWidth="1" min="7" max="7"/>
    <col width="11" customWidth="1" min="8" max="8"/>
    <col width="9" customWidth="1" min="9" max="9"/>
    <col width="15" customWidth="1" min="10" max="10"/>
  </cols>
  <sheetData>
    <row r="1">
      <c r="A1" s="46" t="inlineStr">
        <is>
          <t>월별 실행 타임라인 · 액션플랜  (Moonshot Rocket Launch)</t>
        </is>
      </c>
    </row>
    <row r="2">
      <c r="A2" s="19" t="inlineStr">
        <is>
          <t>단가/금액은 견적상세와 동일 · 합계 = 총 견적 249,450,000 (마크업 포함·VAT 별도)</t>
        </is>
      </c>
    </row>
    <row r="4" ht="30" customHeight="1">
      <c r="A4" s="20" t="inlineStr">
        <is>
          <t>항목</t>
        </is>
      </c>
      <c r="B4" s="20" t="inlineStr">
        <is>
          <t>단가</t>
        </is>
      </c>
      <c r="C4" s="20" t="inlineStr">
        <is>
          <t>7월</t>
        </is>
      </c>
      <c r="D4" s="20" t="inlineStr">
        <is>
          <t>8월
세일사전</t>
        </is>
      </c>
      <c r="E4" s="20" t="inlineStr">
        <is>
          <t>9월
세일★</t>
        </is>
      </c>
      <c r="F4" s="20" t="inlineStr">
        <is>
          <t>10월</t>
        </is>
      </c>
      <c r="G4" s="20" t="inlineStr">
        <is>
          <t>11월
블프★</t>
        </is>
      </c>
      <c r="H4" s="20" t="inlineStr">
        <is>
          <t>12월
세일★</t>
        </is>
      </c>
      <c r="I4" s="21" t="inlineStr">
        <is>
          <t>합계</t>
        </is>
      </c>
      <c r="J4" s="23" t="inlineStr">
        <is>
          <t>금액</t>
        </is>
      </c>
    </row>
    <row r="5" ht="19" customHeight="1">
      <c r="A5" s="47" t="inlineStr">
        <is>
          <t>■ 크리에이터 시딩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</row>
    <row r="6" ht="19" customHeight="1">
      <c r="A6" s="49" t="inlineStr">
        <is>
          <t>마이크로 (UGC)</t>
        </is>
      </c>
      <c r="B6" s="30" t="n">
        <v>500000</v>
      </c>
      <c r="C6" s="26" t="n">
        <v>24</v>
      </c>
      <c r="D6" s="26" t="n">
        <v>47</v>
      </c>
      <c r="E6" s="26" t="n">
        <v>28</v>
      </c>
      <c r="F6" s="26" t="n">
        <v>24</v>
      </c>
      <c r="G6" s="26" t="n">
        <v>33</v>
      </c>
      <c r="H6" s="26" t="n">
        <v>41</v>
      </c>
      <c r="I6" s="29">
        <f>SUM(C6:H6)</f>
        <v/>
      </c>
      <c r="J6" s="31">
        <f>I6*B6</f>
        <v/>
      </c>
    </row>
    <row r="7" ht="19" customHeight="1">
      <c r="A7" s="49" t="inlineStr">
        <is>
          <t>나노</t>
        </is>
      </c>
      <c r="B7" s="30" t="n">
        <v>250000</v>
      </c>
      <c r="C7" s="26" t="n">
        <v>24</v>
      </c>
      <c r="D7" s="26" t="n">
        <v>47</v>
      </c>
      <c r="E7" s="26" t="n">
        <v>28</v>
      </c>
      <c r="F7" s="26" t="n">
        <v>24</v>
      </c>
      <c r="G7" s="26" t="n">
        <v>33</v>
      </c>
      <c r="H7" s="26" t="n">
        <v>41</v>
      </c>
      <c r="I7" s="29">
        <f>SUM(C7:H7)</f>
        <v/>
      </c>
      <c r="J7" s="31">
        <f>I7*B7</f>
        <v/>
      </c>
    </row>
    <row r="8" ht="19" customHeight="1">
      <c r="A8" s="49" t="inlineStr">
        <is>
          <t>매크로</t>
        </is>
      </c>
      <c r="B8" s="30" t="n">
        <v>800000</v>
      </c>
      <c r="C8" s="26" t="inlineStr">
        <is>
          <t>-</t>
        </is>
      </c>
      <c r="D8" s="26" t="n">
        <v>5</v>
      </c>
      <c r="E8" s="26" t="inlineStr">
        <is>
          <t>-</t>
        </is>
      </c>
      <c r="F8" s="26" t="inlineStr">
        <is>
          <t>-</t>
        </is>
      </c>
      <c r="G8" s="26" t="n">
        <v>5</v>
      </c>
      <c r="H8" s="26" t="n">
        <v>5</v>
      </c>
      <c r="I8" s="29">
        <f>SUM(C8:H8)</f>
        <v/>
      </c>
      <c r="J8" s="31">
        <f>I8*B8</f>
        <v/>
      </c>
    </row>
    <row r="9" ht="19" customHeight="1">
      <c r="A9" s="49" t="inlineStr">
        <is>
          <t>KOL 무가시딩</t>
        </is>
      </c>
      <c r="B9" s="30" t="n">
        <v>100000</v>
      </c>
      <c r="C9" s="26" t="n">
        <v>10</v>
      </c>
      <c r="D9" s="26" t="n">
        <v>10</v>
      </c>
      <c r="E9" s="26" t="n">
        <v>10</v>
      </c>
      <c r="F9" s="26" t="n">
        <v>10</v>
      </c>
      <c r="G9" s="26" t="n">
        <v>10</v>
      </c>
      <c r="H9" s="26" t="n">
        <v>10</v>
      </c>
      <c r="I9" s="29">
        <f>SUM(C9:H9)</f>
        <v/>
      </c>
      <c r="J9" s="31">
        <f>I9*B9</f>
        <v/>
      </c>
    </row>
    <row r="10" ht="19" customHeight="1">
      <c r="A10" s="49" t="inlineStr">
        <is>
          <t>X (트위터) 시딩</t>
        </is>
      </c>
      <c r="B10" s="30" t="n">
        <v>500000</v>
      </c>
      <c r="C10" s="26" t="inlineStr">
        <is>
          <t>-</t>
        </is>
      </c>
      <c r="D10" s="26" t="n">
        <v>5</v>
      </c>
      <c r="E10" s="26" t="inlineStr">
        <is>
          <t>-</t>
        </is>
      </c>
      <c r="F10" s="26" t="inlineStr">
        <is>
          <t>-</t>
        </is>
      </c>
      <c r="G10" s="26" t="n">
        <v>5</v>
      </c>
      <c r="H10" s="26" t="n">
        <v>5</v>
      </c>
      <c r="I10" s="29">
        <f>SUM(C10:H10)</f>
        <v/>
      </c>
      <c r="J10" s="31">
        <f>I10*B10</f>
        <v/>
      </c>
    </row>
    <row r="11" ht="19" customHeight="1">
      <c r="A11" s="49" t="inlineStr">
        <is>
          <t>네이버 블로그</t>
        </is>
      </c>
      <c r="B11" s="30" t="n">
        <v>300000</v>
      </c>
      <c r="C11" s="26" t="inlineStr">
        <is>
          <t>-</t>
        </is>
      </c>
      <c r="D11" s="26" t="n">
        <v>5</v>
      </c>
      <c r="E11" s="26" t="inlineStr">
        <is>
          <t>-</t>
        </is>
      </c>
      <c r="F11" s="26" t="inlineStr">
        <is>
          <t>-</t>
        </is>
      </c>
      <c r="G11" s="26" t="n">
        <v>5</v>
      </c>
      <c r="H11" s="26" t="n">
        <v>5</v>
      </c>
      <c r="I11" s="29">
        <f>SUM(C11:H11)</f>
        <v/>
      </c>
      <c r="J11" s="31">
        <f>I11*B11</f>
        <v/>
      </c>
    </row>
    <row r="12" ht="19" customHeight="1">
      <c r="A12" s="47" t="inlineStr">
        <is>
          <t>■ 콘텐츠</t>
        </is>
      </c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</row>
    <row r="13" ht="19" customHeight="1">
      <c r="A13" s="49" t="inlineStr">
        <is>
          <t>EGC 콘텐츠 (마이크로×2)</t>
        </is>
      </c>
      <c r="B13" s="30" t="n">
        <v>1000000</v>
      </c>
      <c r="C13" s="26" t="n">
        <v>2</v>
      </c>
      <c r="D13" s="26" t="n">
        <v>2</v>
      </c>
      <c r="E13" s="26" t="n">
        <v>2</v>
      </c>
      <c r="F13" s="26" t="n">
        <v>2</v>
      </c>
      <c r="G13" s="26" t="n">
        <v>2</v>
      </c>
      <c r="H13" s="26" t="n">
        <v>2</v>
      </c>
      <c r="I13" s="29">
        <f>SUM(C13:H13)</f>
        <v/>
      </c>
      <c r="J13" s="31">
        <f>I13*B13</f>
        <v/>
      </c>
    </row>
    <row r="14" ht="19" customHeight="1">
      <c r="A14" s="49" t="inlineStr">
        <is>
          <t>Half EGC 콘텐츠 (마이크로×2.5)</t>
        </is>
      </c>
      <c r="B14" s="30" t="n">
        <v>1250000</v>
      </c>
      <c r="C14" s="26" t="n">
        <v>1</v>
      </c>
      <c r="D14" s="26" t="n">
        <v>1</v>
      </c>
      <c r="E14" s="26" t="n">
        <v>1</v>
      </c>
      <c r="F14" s="26" t="n">
        <v>1</v>
      </c>
      <c r="G14" s="26" t="n">
        <v>1</v>
      </c>
      <c r="H14" s="26" t="n">
        <v>1</v>
      </c>
      <c r="I14" s="29">
        <f>SUM(C14:H14)</f>
        <v/>
      </c>
      <c r="J14" s="31">
        <f>I14*B14</f>
        <v/>
      </c>
    </row>
    <row r="15" ht="19" customHeight="1">
      <c r="A15" s="49" t="inlineStr">
        <is>
          <t>콘텐츠 제작 (KV·영상·이미지)</t>
        </is>
      </c>
      <c r="B15" s="30" t="n">
        <v>1500000</v>
      </c>
      <c r="C15" s="26" t="n">
        <v>1</v>
      </c>
      <c r="D15" s="26" t="n">
        <v>1</v>
      </c>
      <c r="E15" s="26" t="n">
        <v>1</v>
      </c>
      <c r="F15" s="26" t="n">
        <v>1</v>
      </c>
      <c r="G15" s="26" t="n">
        <v>1</v>
      </c>
      <c r="H15" s="26" t="n">
        <v>1</v>
      </c>
      <c r="I15" s="29">
        <f>SUM(C15:H15)</f>
        <v/>
      </c>
      <c r="J15" s="31">
        <f>I15*B15</f>
        <v/>
      </c>
    </row>
    <row r="16" ht="19" customHeight="1">
      <c r="A16" s="47" t="inlineStr">
        <is>
          <t>■ 바이럴 · 전환</t>
        </is>
      </c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</row>
    <row r="17" ht="19" customHeight="1">
      <c r="A17" s="49" t="inlineStr">
        <is>
          <t>파워페이지</t>
        </is>
      </c>
      <c r="B17" s="30" t="n">
        <v>800000</v>
      </c>
      <c r="C17" s="26" t="inlineStr">
        <is>
          <t>-</t>
        </is>
      </c>
      <c r="D17" s="26" t="n">
        <v>3</v>
      </c>
      <c r="E17" s="26" t="inlineStr">
        <is>
          <t>-</t>
        </is>
      </c>
      <c r="F17" s="26" t="inlineStr">
        <is>
          <t>-</t>
        </is>
      </c>
      <c r="G17" s="26" t="n">
        <v>3</v>
      </c>
      <c r="H17" s="26" t="n">
        <v>3</v>
      </c>
      <c r="I17" s="29">
        <f>SUM(C17:H17)</f>
        <v/>
      </c>
      <c r="J17" s="31">
        <f>I17*B17</f>
        <v/>
      </c>
    </row>
    <row r="18" ht="19" customHeight="1">
      <c r="A18" s="49" t="inlineStr">
        <is>
          <t>커뮤니티 체험단 (마크업20%)</t>
        </is>
      </c>
      <c r="B18" s="30" t="n">
        <v>5000000</v>
      </c>
      <c r="C18" s="26" t="inlineStr">
        <is>
          <t>-</t>
        </is>
      </c>
      <c r="D18" s="26" t="n">
        <v>1</v>
      </c>
      <c r="E18" s="26" t="inlineStr">
        <is>
          <t>-</t>
        </is>
      </c>
      <c r="F18" s="26" t="inlineStr">
        <is>
          <t>-</t>
        </is>
      </c>
      <c r="G18" s="26" t="n">
        <v>1</v>
      </c>
      <c r="H18" s="26" t="n">
        <v>1</v>
      </c>
      <c r="I18" s="29">
        <f>SUM(C18:H18)</f>
        <v/>
      </c>
      <c r="J18" s="31">
        <f>I18*B18*1.2</f>
        <v/>
      </c>
    </row>
    <row r="19" ht="19" customHeight="1">
      <c r="A19" s="49" t="inlineStr">
        <is>
          <t>챌린저스 (마크업20%)</t>
        </is>
      </c>
      <c r="B19" s="30" t="n">
        <v>5000000</v>
      </c>
      <c r="C19" s="26" t="inlineStr">
        <is>
          <t>-</t>
        </is>
      </c>
      <c r="D19" s="26" t="n">
        <v>1</v>
      </c>
      <c r="E19" s="26" t="inlineStr">
        <is>
          <t>-</t>
        </is>
      </c>
      <c r="F19" s="26" t="inlineStr">
        <is>
          <t>-</t>
        </is>
      </c>
      <c r="G19" s="26" t="n">
        <v>1</v>
      </c>
      <c r="H19" s="26" t="inlineStr">
        <is>
          <t>-</t>
        </is>
      </c>
      <c r="I19" s="29">
        <f>SUM(C19:H19)</f>
        <v/>
      </c>
      <c r="J19" s="31">
        <f>I19*B19*1.2</f>
        <v/>
      </c>
    </row>
    <row r="20" ht="19" customHeight="1">
      <c r="A20" s="49" t="inlineStr">
        <is>
          <t>어필리에이트 (누적)</t>
        </is>
      </c>
      <c r="B20" s="30" t="n">
        <v>100000</v>
      </c>
      <c r="C20" s="26" t="n">
        <v>10</v>
      </c>
      <c r="D20" s="26" t="n">
        <v>20</v>
      </c>
      <c r="E20" s="26" t="n">
        <v>30</v>
      </c>
      <c r="F20" s="26" t="n">
        <v>40</v>
      </c>
      <c r="G20" s="26" t="n">
        <v>50</v>
      </c>
      <c r="H20" s="26" t="n">
        <v>60</v>
      </c>
      <c r="I20" s="29" t="inlineStr">
        <is>
          <t>누적 60</t>
        </is>
      </c>
      <c r="J20" s="31">
        <f>60*B20</f>
        <v/>
      </c>
    </row>
    <row r="22">
      <c r="A22" s="47" t="inlineStr">
        <is>
          <t>월 시딩 총건수</t>
        </is>
      </c>
      <c r="B22" s="48" t="inlineStr"/>
      <c r="C22" s="50">
        <f>SUM(C6:C11)</f>
        <v/>
      </c>
      <c r="D22" s="50">
        <f>SUM(D6:D11)</f>
        <v/>
      </c>
      <c r="E22" s="50">
        <f>SUM(E6:E11)</f>
        <v/>
      </c>
      <c r="F22" s="50">
        <f>SUM(F6:F11)</f>
        <v/>
      </c>
      <c r="G22" s="50">
        <f>SUM(G6:G11)</f>
        <v/>
      </c>
      <c r="H22" s="50">
        <f>SUM(H6:H11)</f>
        <v/>
      </c>
      <c r="I22" s="50">
        <f>SUM(C22:H22)</f>
        <v/>
      </c>
      <c r="J22" s="48" t="inlineStr"/>
    </row>
    <row r="23">
      <c r="I23" s="41" t="inlineStr">
        <is>
          <t>총 견적</t>
        </is>
      </c>
      <c r="J23" s="35">
        <f>SUM(J6:J20)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2026-06-18T06:55:54Z</dcterms:created>
  <dcterms:modified xmlns:dcterms="http://purl.org/dc/terms/" xmlns:xsi="http://www.w3.org/2001/XMLSchema-instance" xsi:type="dcterms:W3CDTF">2026-06-18T06:55:54Z</dcterms:modified>
</cp:coreProperties>
</file>